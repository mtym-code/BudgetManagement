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900017\source\repos\BudgetManagement\BudgetManagement\Templates\"/>
    </mc:Choice>
  </mc:AlternateContent>
  <bookViews>
    <workbookView xWindow="0" yWindow="0" windowWidth="5925" windowHeight="5940"/>
  </bookViews>
  <sheets>
    <sheet name="部門別経費予算" sheetId="4" r:id="rId1"/>
    <sheet name="Settings" sheetId="5" r:id="rId2"/>
  </sheets>
  <calcPr calcId="162913"/>
</workbook>
</file>

<file path=xl/calcChain.xml><?xml version="1.0" encoding="utf-8"?>
<calcChain xmlns="http://schemas.openxmlformats.org/spreadsheetml/2006/main">
  <c r="M45" i="4" l="1"/>
  <c r="M2" i="4" l="1"/>
  <c r="I2" i="4"/>
  <c r="G1" i="4"/>
  <c r="S23" i="4" l="1"/>
  <c r="L23" i="4"/>
  <c r="S56" i="4"/>
  <c r="L56" i="4"/>
  <c r="K56" i="4" l="1"/>
  <c r="K23" i="4"/>
  <c r="M5" i="4"/>
  <c r="N5" i="4"/>
  <c r="O5" i="4"/>
  <c r="P5" i="4"/>
  <c r="Q5" i="4"/>
  <c r="R5" i="4"/>
  <c r="T5" i="4"/>
  <c r="U5" i="4"/>
  <c r="V5" i="4"/>
  <c r="W5" i="4"/>
  <c r="X5" i="4"/>
  <c r="Y5" i="4"/>
  <c r="L6" i="4"/>
  <c r="S6" i="4"/>
  <c r="L7" i="4"/>
  <c r="S7" i="4"/>
  <c r="L8" i="4"/>
  <c r="S8" i="4"/>
  <c r="L9" i="4"/>
  <c r="S9" i="4"/>
  <c r="L10" i="4"/>
  <c r="S10" i="4"/>
  <c r="L11" i="4"/>
  <c r="S11" i="4"/>
  <c r="L12" i="4"/>
  <c r="S12" i="4"/>
  <c r="L13" i="4"/>
  <c r="S13" i="4"/>
  <c r="M14" i="4"/>
  <c r="N14" i="4"/>
  <c r="O14" i="4"/>
  <c r="P14" i="4"/>
  <c r="Q14" i="4"/>
  <c r="R14" i="4"/>
  <c r="T14" i="4"/>
  <c r="U14" i="4"/>
  <c r="V14" i="4"/>
  <c r="W14" i="4"/>
  <c r="X14" i="4"/>
  <c r="Y14" i="4"/>
  <c r="L15" i="4"/>
  <c r="S15" i="4"/>
  <c r="L16" i="4"/>
  <c r="S16" i="4"/>
  <c r="M17" i="4"/>
  <c r="N17" i="4"/>
  <c r="O17" i="4"/>
  <c r="P17" i="4"/>
  <c r="Q17" i="4"/>
  <c r="R17" i="4"/>
  <c r="T17" i="4"/>
  <c r="U17" i="4"/>
  <c r="V17" i="4"/>
  <c r="W17" i="4"/>
  <c r="X17" i="4"/>
  <c r="Y17" i="4"/>
  <c r="L18" i="4"/>
  <c r="S18" i="4"/>
  <c r="L19" i="4"/>
  <c r="S19" i="4"/>
  <c r="L20" i="4"/>
  <c r="S20" i="4"/>
  <c r="M21" i="4"/>
  <c r="N21" i="4"/>
  <c r="O21" i="4"/>
  <c r="P21" i="4"/>
  <c r="Q21" i="4"/>
  <c r="R21" i="4"/>
  <c r="T21" i="4"/>
  <c r="U21" i="4"/>
  <c r="V21" i="4"/>
  <c r="W21" i="4"/>
  <c r="X21" i="4"/>
  <c r="Y21" i="4"/>
  <c r="L22" i="4"/>
  <c r="S22" i="4"/>
  <c r="L24" i="4"/>
  <c r="S24" i="4"/>
  <c r="L25" i="4"/>
  <c r="S25" i="4"/>
  <c r="L27" i="4"/>
  <c r="S27" i="4"/>
  <c r="L28" i="4"/>
  <c r="S28" i="4"/>
  <c r="L29" i="4"/>
  <c r="S29" i="4"/>
  <c r="L30" i="4"/>
  <c r="S30" i="4"/>
  <c r="L31" i="4"/>
  <c r="S31" i="4"/>
  <c r="L32" i="4"/>
  <c r="S32" i="4"/>
  <c r="L33" i="4"/>
  <c r="S33" i="4"/>
  <c r="L34" i="4"/>
  <c r="S34" i="4"/>
  <c r="L35" i="4"/>
  <c r="S35" i="4"/>
  <c r="L36" i="4"/>
  <c r="S36" i="4"/>
  <c r="L37" i="4"/>
  <c r="S37" i="4"/>
  <c r="L38" i="4"/>
  <c r="S38" i="4"/>
  <c r="L39" i="4"/>
  <c r="S39" i="4"/>
  <c r="L40" i="4"/>
  <c r="S40" i="4"/>
  <c r="L41" i="4"/>
  <c r="S41" i="4"/>
  <c r="L42" i="4"/>
  <c r="S42" i="4"/>
  <c r="L43" i="4"/>
  <c r="S43" i="4"/>
  <c r="L44" i="4"/>
  <c r="S44" i="4"/>
  <c r="N45" i="4"/>
  <c r="O45" i="4"/>
  <c r="P45" i="4"/>
  <c r="Q45" i="4"/>
  <c r="R45" i="4"/>
  <c r="T45" i="4"/>
  <c r="U45" i="4"/>
  <c r="V45" i="4"/>
  <c r="W45" i="4"/>
  <c r="X45" i="4"/>
  <c r="Y45" i="4"/>
  <c r="M46" i="4"/>
  <c r="N46" i="4"/>
  <c r="O46" i="4"/>
  <c r="P46" i="4"/>
  <c r="Q46" i="4"/>
  <c r="R46" i="4"/>
  <c r="T46" i="4"/>
  <c r="U46" i="4"/>
  <c r="V46" i="4"/>
  <c r="W46" i="4"/>
  <c r="X46" i="4"/>
  <c r="Y46" i="4"/>
  <c r="L47" i="4"/>
  <c r="S47" i="4"/>
  <c r="L48" i="4"/>
  <c r="S48" i="4"/>
  <c r="L49" i="4"/>
  <c r="S49" i="4"/>
  <c r="L50" i="4"/>
  <c r="S50" i="4"/>
  <c r="L51" i="4"/>
  <c r="S51" i="4"/>
  <c r="L52" i="4"/>
  <c r="S52" i="4"/>
  <c r="L53" i="4"/>
  <c r="S53" i="4"/>
  <c r="L54" i="4"/>
  <c r="S54" i="4"/>
  <c r="M55" i="4"/>
  <c r="N55" i="4"/>
  <c r="O55" i="4"/>
  <c r="P55" i="4"/>
  <c r="Q55" i="4"/>
  <c r="R55" i="4"/>
  <c r="T55" i="4"/>
  <c r="U55" i="4"/>
  <c r="V55" i="4"/>
  <c r="W55" i="4"/>
  <c r="X55" i="4"/>
  <c r="Y55" i="4"/>
  <c r="L58" i="4"/>
  <c r="S58" i="4"/>
  <c r="L60" i="4"/>
  <c r="S60" i="4"/>
  <c r="L61" i="4"/>
  <c r="S61" i="4"/>
  <c r="L62" i="4"/>
  <c r="S62" i="4"/>
  <c r="L63" i="4"/>
  <c r="S63" i="4"/>
  <c r="L64" i="4"/>
  <c r="S64" i="4"/>
  <c r="L67" i="4"/>
  <c r="S67" i="4"/>
  <c r="L68" i="4"/>
  <c r="S68" i="4"/>
  <c r="L69" i="4"/>
  <c r="S69" i="4"/>
  <c r="L70" i="4"/>
  <c r="S70" i="4"/>
  <c r="L71" i="4"/>
  <c r="S71" i="4"/>
  <c r="M72" i="4"/>
  <c r="N72" i="4"/>
  <c r="O72" i="4"/>
  <c r="P72" i="4"/>
  <c r="Q72" i="4"/>
  <c r="R72" i="4"/>
  <c r="T72" i="4"/>
  <c r="U72" i="4"/>
  <c r="V72" i="4"/>
  <c r="W72" i="4"/>
  <c r="X72" i="4"/>
  <c r="Y72" i="4"/>
  <c r="L73" i="4"/>
  <c r="S73" i="4"/>
  <c r="L74" i="4"/>
  <c r="S74" i="4"/>
  <c r="L75" i="4"/>
  <c r="S75" i="4"/>
  <c r="L76" i="4"/>
  <c r="S76" i="4"/>
  <c r="L77" i="4"/>
  <c r="S77" i="4"/>
  <c r="L78" i="4"/>
  <c r="S78" i="4"/>
  <c r="M79" i="4"/>
  <c r="N79" i="4"/>
  <c r="O79" i="4"/>
  <c r="P79" i="4"/>
  <c r="Q79" i="4"/>
  <c r="R79" i="4"/>
  <c r="T79" i="4"/>
  <c r="U79" i="4"/>
  <c r="V79" i="4"/>
  <c r="W79" i="4"/>
  <c r="X79" i="4"/>
  <c r="Y79" i="4"/>
  <c r="V26" i="4" l="1"/>
  <c r="V57" i="4" s="1"/>
  <c r="V59" i="4" s="1"/>
  <c r="V65" i="4" s="1"/>
  <c r="K20" i="4"/>
  <c r="K10" i="4"/>
  <c r="K68" i="4"/>
  <c r="K6" i="4"/>
  <c r="K18" i="4"/>
  <c r="K12" i="4"/>
  <c r="K60" i="4"/>
  <c r="R26" i="4"/>
  <c r="R57" i="4" s="1"/>
  <c r="K8" i="4"/>
  <c r="S79" i="4"/>
  <c r="K71" i="4"/>
  <c r="K67" i="4"/>
  <c r="K13" i="4"/>
  <c r="K75" i="4"/>
  <c r="K64" i="4"/>
  <c r="K58" i="4"/>
  <c r="K53" i="4"/>
  <c r="K49" i="4"/>
  <c r="K41" i="4"/>
  <c r="K37" i="4"/>
  <c r="K33" i="4"/>
  <c r="K69" i="4"/>
  <c r="K61" i="4"/>
  <c r="K16" i="4"/>
  <c r="K77" i="4"/>
  <c r="K73" i="4"/>
  <c r="L5" i="4"/>
  <c r="K44" i="4"/>
  <c r="K29" i="4"/>
  <c r="K25" i="4"/>
  <c r="K48" i="4"/>
  <c r="K28" i="4"/>
  <c r="K11" i="4"/>
  <c r="K32" i="4"/>
  <c r="K22" i="4"/>
  <c r="K52" i="4"/>
  <c r="K36" i="4"/>
  <c r="K9" i="4"/>
  <c r="K40" i="4"/>
  <c r="Y26" i="4"/>
  <c r="Y57" i="4" s="1"/>
  <c r="K7" i="4"/>
  <c r="W26" i="4"/>
  <c r="W57" i="4" s="1"/>
  <c r="U26" i="4"/>
  <c r="U57" i="4" s="1"/>
  <c r="L17" i="4"/>
  <c r="K70" i="4"/>
  <c r="L46" i="4"/>
  <c r="K78" i="4"/>
  <c r="K74" i="4"/>
  <c r="S72" i="4"/>
  <c r="K19" i="4"/>
  <c r="K76" i="4"/>
  <c r="K62" i="4"/>
  <c r="K50" i="4"/>
  <c r="K42" i="4"/>
  <c r="K24" i="4"/>
  <c r="P26" i="4"/>
  <c r="P57" i="4" s="1"/>
  <c r="P59" i="4" s="1"/>
  <c r="P65" i="4" s="1"/>
  <c r="S55" i="4"/>
  <c r="L72" i="4"/>
  <c r="K54" i="4"/>
  <c r="K38" i="4"/>
  <c r="K34" i="4"/>
  <c r="K30" i="4"/>
  <c r="N26" i="4"/>
  <c r="N57" i="4" s="1"/>
  <c r="N59" i="4" s="1"/>
  <c r="N65" i="4" s="1"/>
  <c r="L79" i="4"/>
  <c r="K63" i="4"/>
  <c r="K51" i="4"/>
  <c r="K47" i="4"/>
  <c r="K43" i="4"/>
  <c r="K39" i="4"/>
  <c r="K35" i="4"/>
  <c r="K31" i="4"/>
  <c r="K27" i="4"/>
  <c r="K15" i="4"/>
  <c r="S45" i="4"/>
  <c r="L55" i="4"/>
  <c r="S46" i="4"/>
  <c r="L45" i="4"/>
  <c r="L21" i="4"/>
  <c r="S17" i="4"/>
  <c r="S5" i="4"/>
  <c r="X26" i="4"/>
  <c r="X57" i="4" s="1"/>
  <c r="T26" i="4"/>
  <c r="S21" i="4"/>
  <c r="S14" i="4"/>
  <c r="Q26" i="4"/>
  <c r="Q57" i="4" s="1"/>
  <c r="O26" i="4"/>
  <c r="O57" i="4" s="1"/>
  <c r="L14" i="4"/>
  <c r="M26" i="4"/>
  <c r="M57" i="4" s="1"/>
  <c r="K45" i="4" l="1"/>
  <c r="K79" i="4"/>
  <c r="K17" i="4"/>
  <c r="K46" i="4"/>
  <c r="R59" i="4"/>
  <c r="R65" i="4" s="1"/>
  <c r="K5" i="4"/>
  <c r="K72" i="4"/>
  <c r="O59" i="4"/>
  <c r="O65" i="4" s="1"/>
  <c r="X59" i="4"/>
  <c r="X65" i="4" s="1"/>
  <c r="K21" i="4"/>
  <c r="Q59" i="4"/>
  <c r="Q65" i="4" s="1"/>
  <c r="W59" i="4"/>
  <c r="W65" i="4" s="1"/>
  <c r="L26" i="4"/>
  <c r="K14" i="4"/>
  <c r="U59" i="4"/>
  <c r="U65" i="4" s="1"/>
  <c r="Y59" i="4"/>
  <c r="Y65" i="4" s="1"/>
  <c r="S26" i="4"/>
  <c r="T57" i="4"/>
  <c r="K55" i="4"/>
  <c r="K26" i="4" l="1"/>
  <c r="S57" i="4"/>
  <c r="T59" i="4"/>
  <c r="T65" i="4" s="1"/>
  <c r="L57" i="4"/>
  <c r="M59" i="4"/>
  <c r="M65" i="4" s="1"/>
  <c r="K57" i="4" l="1"/>
  <c r="L59" i="4"/>
  <c r="L65" i="4"/>
  <c r="S65" i="4"/>
  <c r="S59" i="4"/>
  <c r="K59" i="4" l="1"/>
  <c r="K65" i="4"/>
</calcChain>
</file>

<file path=xl/sharedStrings.xml><?xml version="1.0" encoding="utf-8"?>
<sst xmlns="http://schemas.openxmlformats.org/spreadsheetml/2006/main" count="510" uniqueCount="173">
  <si>
    <t>751000</t>
    <phoneticPr fontId="5"/>
  </si>
  <si>
    <t>共通経費負担額</t>
    <phoneticPr fontId="3"/>
  </si>
  <si>
    <t>TA間接部門費</t>
    <phoneticPr fontId="3"/>
  </si>
  <si>
    <t>本部費負担額１</t>
    <phoneticPr fontId="3"/>
  </si>
  <si>
    <t>本部費負担額２</t>
    <phoneticPr fontId="3"/>
  </si>
  <si>
    <t>829000</t>
    <phoneticPr fontId="5"/>
  </si>
  <si>
    <t>Y</t>
    <phoneticPr fontId="3"/>
  </si>
  <si>
    <t>マスタチェック</t>
    <phoneticPr fontId="3"/>
  </si>
  <si>
    <t>計</t>
    <phoneticPr fontId="3"/>
  </si>
  <si>
    <t>間接経費</t>
    <phoneticPr fontId="3"/>
  </si>
  <si>
    <t>BM0030</t>
    <phoneticPr fontId="3"/>
  </si>
  <si>
    <t>BM0020</t>
    <phoneticPr fontId="3"/>
  </si>
  <si>
    <t>厚  生  費  （計）</t>
    <phoneticPr fontId="3"/>
  </si>
  <si>
    <t>法定福利費(FA)</t>
    <phoneticPr fontId="3"/>
  </si>
  <si>
    <t>通  勤  費  （計）</t>
    <phoneticPr fontId="3"/>
  </si>
  <si>
    <t>厚生費(FA)</t>
    <phoneticPr fontId="3"/>
  </si>
  <si>
    <t>通勤費(FA)</t>
    <phoneticPr fontId="3"/>
  </si>
  <si>
    <t>BM0010</t>
    <phoneticPr fontId="3"/>
  </si>
  <si>
    <t>法定福利費 （計）</t>
    <phoneticPr fontId="3"/>
  </si>
  <si>
    <t>723000</t>
    <phoneticPr fontId="3"/>
  </si>
  <si>
    <t>724000</t>
    <phoneticPr fontId="3"/>
  </si>
  <si>
    <t>株式報酬費用</t>
    <phoneticPr fontId="3"/>
  </si>
  <si>
    <t xml:space="preserve"> 4月</t>
    <phoneticPr fontId="3"/>
  </si>
  <si>
    <t xml:space="preserve"> 5月</t>
    <phoneticPr fontId="5"/>
  </si>
  <si>
    <t xml:space="preserve"> 10月</t>
    <phoneticPr fontId="3"/>
  </si>
  <si>
    <t xml:space="preserve"> 11月</t>
    <phoneticPr fontId="5"/>
  </si>
  <si>
    <t xml:space="preserve"> 12月</t>
    <phoneticPr fontId="5"/>
  </si>
  <si>
    <t xml:space="preserve"> 1月</t>
    <phoneticPr fontId="5"/>
  </si>
  <si>
    <t xml:space="preserve"> 2月</t>
    <phoneticPr fontId="5"/>
  </si>
  <si>
    <t xml:space="preserve"> 3月</t>
    <phoneticPr fontId="5"/>
  </si>
  <si>
    <t>アプリVer.</t>
    <phoneticPr fontId="3"/>
  </si>
  <si>
    <t>FY330</t>
    <phoneticPr fontId="3"/>
  </si>
  <si>
    <t>713000</t>
    <phoneticPr fontId="3"/>
  </si>
  <si>
    <t>00</t>
    <phoneticPr fontId="3"/>
  </si>
  <si>
    <t>01</t>
    <phoneticPr fontId="3"/>
  </si>
  <si>
    <t>02</t>
    <phoneticPr fontId="3"/>
  </si>
  <si>
    <t>714000</t>
    <phoneticPr fontId="3"/>
  </si>
  <si>
    <t>715000</t>
    <phoneticPr fontId="3"/>
  </si>
  <si>
    <t>712000</t>
    <phoneticPr fontId="3"/>
  </si>
  <si>
    <t>711000</t>
    <phoneticPr fontId="3"/>
  </si>
  <si>
    <t>716000</t>
    <phoneticPr fontId="3"/>
  </si>
  <si>
    <t>717000</t>
    <phoneticPr fontId="3"/>
  </si>
  <si>
    <t>718000</t>
    <phoneticPr fontId="3"/>
  </si>
  <si>
    <t>719000</t>
    <phoneticPr fontId="3"/>
  </si>
  <si>
    <t>721000</t>
    <phoneticPr fontId="3"/>
  </si>
  <si>
    <t>722000</t>
    <phoneticPr fontId="3"/>
  </si>
  <si>
    <t>731000</t>
    <phoneticPr fontId="3"/>
  </si>
  <si>
    <t>732000</t>
    <phoneticPr fontId="3"/>
  </si>
  <si>
    <t>733000</t>
    <phoneticPr fontId="3"/>
  </si>
  <si>
    <t>734000</t>
    <phoneticPr fontId="3"/>
  </si>
  <si>
    <t>735000</t>
    <phoneticPr fontId="3"/>
  </si>
  <si>
    <t>736000</t>
    <phoneticPr fontId="3"/>
  </si>
  <si>
    <t>737000</t>
    <phoneticPr fontId="3"/>
  </si>
  <si>
    <t>738000</t>
    <phoneticPr fontId="3"/>
  </si>
  <si>
    <t>748000</t>
    <phoneticPr fontId="3"/>
  </si>
  <si>
    <t>739000</t>
    <phoneticPr fontId="3"/>
  </si>
  <si>
    <t>741000</t>
    <phoneticPr fontId="3"/>
  </si>
  <si>
    <t>749100</t>
    <phoneticPr fontId="3"/>
  </si>
  <si>
    <t>742000</t>
    <phoneticPr fontId="3"/>
  </si>
  <si>
    <t>743000</t>
    <phoneticPr fontId="3"/>
  </si>
  <si>
    <t>744000</t>
    <phoneticPr fontId="3"/>
  </si>
  <si>
    <t>745000</t>
    <phoneticPr fontId="3"/>
  </si>
  <si>
    <t>746000</t>
    <phoneticPr fontId="3"/>
  </si>
  <si>
    <t>747000</t>
    <phoneticPr fontId="3"/>
  </si>
  <si>
    <t>752000</t>
    <phoneticPr fontId="3"/>
  </si>
  <si>
    <t>753000</t>
    <phoneticPr fontId="3"/>
  </si>
  <si>
    <t>754000</t>
    <phoneticPr fontId="3"/>
  </si>
  <si>
    <t>755000</t>
    <phoneticPr fontId="3"/>
  </si>
  <si>
    <t>759000</t>
    <phoneticPr fontId="3"/>
  </si>
  <si>
    <t>758000</t>
    <phoneticPr fontId="3"/>
  </si>
  <si>
    <t>782000</t>
    <phoneticPr fontId="3"/>
  </si>
  <si>
    <t>765000</t>
    <phoneticPr fontId="3"/>
  </si>
  <si>
    <t>761000</t>
    <phoneticPr fontId="3"/>
  </si>
  <si>
    <t>762000</t>
    <phoneticPr fontId="3"/>
  </si>
  <si>
    <t>763000</t>
    <phoneticPr fontId="3"/>
  </si>
  <si>
    <t>764000</t>
    <phoneticPr fontId="3"/>
  </si>
  <si>
    <t>781000</t>
    <phoneticPr fontId="3"/>
  </si>
  <si>
    <t>811000</t>
    <phoneticPr fontId="3"/>
  </si>
  <si>
    <t>812000</t>
    <phoneticPr fontId="3"/>
  </si>
  <si>
    <t>813000</t>
    <phoneticPr fontId="3"/>
  </si>
  <si>
    <t>814000</t>
    <phoneticPr fontId="3"/>
  </si>
  <si>
    <t>819000</t>
    <phoneticPr fontId="3"/>
  </si>
  <si>
    <t>821000</t>
    <phoneticPr fontId="3"/>
  </si>
  <si>
    <t>822000</t>
    <phoneticPr fontId="3"/>
  </si>
  <si>
    <t>823000</t>
    <phoneticPr fontId="3"/>
  </si>
  <si>
    <t>825000</t>
    <phoneticPr fontId="3"/>
  </si>
  <si>
    <t>828000</t>
    <phoneticPr fontId="3"/>
  </si>
  <si>
    <t>販売費</t>
    <phoneticPr fontId="3"/>
  </si>
  <si>
    <t>雑          給</t>
    <phoneticPr fontId="3"/>
  </si>
  <si>
    <t>事務消耗品費</t>
    <phoneticPr fontId="3"/>
  </si>
  <si>
    <t xml:space="preserve"> 退   職   金 </t>
    <phoneticPr fontId="3"/>
  </si>
  <si>
    <t>賞        与</t>
    <phoneticPr fontId="3"/>
  </si>
  <si>
    <t>給        料</t>
    <phoneticPr fontId="3"/>
  </si>
  <si>
    <t>厚   生   費</t>
    <phoneticPr fontId="3"/>
  </si>
  <si>
    <t>社員教育費</t>
    <phoneticPr fontId="3"/>
  </si>
  <si>
    <t>通   勤   費</t>
    <phoneticPr fontId="3"/>
  </si>
  <si>
    <t>賄        費</t>
    <phoneticPr fontId="3"/>
  </si>
  <si>
    <t>公 租 公 課</t>
    <phoneticPr fontId="3"/>
  </si>
  <si>
    <t>通   信   費</t>
    <phoneticPr fontId="3"/>
  </si>
  <si>
    <t>保   険   料</t>
    <phoneticPr fontId="3"/>
  </si>
  <si>
    <t>家        賃</t>
    <phoneticPr fontId="3"/>
  </si>
  <si>
    <t>賃   借   料</t>
    <phoneticPr fontId="3"/>
  </si>
  <si>
    <t>水道光熱費</t>
    <phoneticPr fontId="3"/>
  </si>
  <si>
    <t>雑消耗品費</t>
    <phoneticPr fontId="3"/>
  </si>
  <si>
    <t>事務代行費</t>
    <phoneticPr fontId="3"/>
  </si>
  <si>
    <t>修   繕   費</t>
    <phoneticPr fontId="3"/>
  </si>
  <si>
    <t>建物管理費</t>
    <phoneticPr fontId="3"/>
  </si>
  <si>
    <t>信用調査費</t>
    <phoneticPr fontId="3"/>
  </si>
  <si>
    <t>調査研究費</t>
    <phoneticPr fontId="3"/>
  </si>
  <si>
    <t>図   書   費</t>
    <phoneticPr fontId="3"/>
  </si>
  <si>
    <t>会   議   費</t>
    <phoneticPr fontId="3"/>
  </si>
  <si>
    <t>寄   付   金</t>
    <phoneticPr fontId="3"/>
  </si>
  <si>
    <t>負   担   金</t>
    <phoneticPr fontId="3"/>
  </si>
  <si>
    <t>雑        費</t>
    <phoneticPr fontId="3"/>
  </si>
  <si>
    <t>旅費交通費</t>
    <phoneticPr fontId="3"/>
  </si>
  <si>
    <t>交   際   費</t>
    <phoneticPr fontId="3"/>
  </si>
  <si>
    <t>運   送   費</t>
    <phoneticPr fontId="3"/>
  </si>
  <si>
    <t>広告宣伝費</t>
    <phoneticPr fontId="3"/>
  </si>
  <si>
    <t>売   出   費</t>
    <phoneticPr fontId="3"/>
  </si>
  <si>
    <t>店 頭 経 費</t>
    <phoneticPr fontId="3"/>
  </si>
  <si>
    <t>海外提携費</t>
    <phoneticPr fontId="3"/>
  </si>
  <si>
    <t xml:space="preserve"> 減価償却費</t>
    <phoneticPr fontId="3"/>
  </si>
  <si>
    <t xml:space="preserve"> 事   業   税</t>
    <phoneticPr fontId="3"/>
  </si>
  <si>
    <t>法定福利費</t>
    <phoneticPr fontId="3"/>
  </si>
  <si>
    <t>年月</t>
    <phoneticPr fontId="3"/>
  </si>
  <si>
    <t>課</t>
    <phoneticPr fontId="3"/>
  </si>
  <si>
    <t>入力制御１</t>
    <phoneticPr fontId="3"/>
  </si>
  <si>
    <t>入力制御２</t>
    <phoneticPr fontId="3"/>
  </si>
  <si>
    <t>入力制御３</t>
    <phoneticPr fontId="3"/>
  </si>
  <si>
    <t>データ入力</t>
    <phoneticPr fontId="3"/>
  </si>
  <si>
    <t>データ出力</t>
    <phoneticPr fontId="3"/>
  </si>
  <si>
    <t>科目ｺｰﾄﾞ</t>
    <phoneticPr fontId="3"/>
  </si>
  <si>
    <t>細</t>
    <phoneticPr fontId="3"/>
  </si>
  <si>
    <t>科    目   名</t>
    <phoneticPr fontId="3"/>
  </si>
  <si>
    <t>年  計</t>
    <phoneticPr fontId="3"/>
  </si>
  <si>
    <t>上 期 計</t>
    <phoneticPr fontId="3"/>
  </si>
  <si>
    <t xml:space="preserve"> 6月</t>
    <phoneticPr fontId="3"/>
  </si>
  <si>
    <t xml:space="preserve"> 7月</t>
    <phoneticPr fontId="3"/>
  </si>
  <si>
    <t xml:space="preserve"> 8月</t>
    <phoneticPr fontId="3"/>
  </si>
  <si>
    <t xml:space="preserve"> 9月</t>
    <phoneticPr fontId="3"/>
  </si>
  <si>
    <t>下 期 計</t>
    <phoneticPr fontId="3"/>
  </si>
  <si>
    <t>人件費</t>
    <phoneticPr fontId="5"/>
  </si>
  <si>
    <t>（ 基 準 内 ）</t>
    <phoneticPr fontId="3"/>
  </si>
  <si>
    <t>（ 基 準 外 ）</t>
    <phoneticPr fontId="5"/>
  </si>
  <si>
    <t>Ｆ Ａ 給 料</t>
    <phoneticPr fontId="3"/>
  </si>
  <si>
    <t>社 宅 経 費</t>
    <phoneticPr fontId="3"/>
  </si>
  <si>
    <t>求   人   費</t>
    <phoneticPr fontId="3"/>
  </si>
  <si>
    <t>一般管理費</t>
    <phoneticPr fontId="5"/>
  </si>
  <si>
    <t>Y</t>
    <phoneticPr fontId="3"/>
  </si>
  <si>
    <t>（  国    内  ）</t>
    <phoneticPr fontId="5"/>
  </si>
  <si>
    <t>（  海    外  ）</t>
    <phoneticPr fontId="5"/>
  </si>
  <si>
    <t>小計１</t>
    <phoneticPr fontId="3"/>
  </si>
  <si>
    <t>合計</t>
    <phoneticPr fontId="5"/>
  </si>
  <si>
    <t>使用設備費２</t>
    <phoneticPr fontId="3"/>
  </si>
  <si>
    <t>総合計</t>
    <phoneticPr fontId="5"/>
  </si>
  <si>
    <t>営業外収益</t>
    <phoneticPr fontId="3"/>
  </si>
  <si>
    <t>受 取 利 息</t>
    <phoneticPr fontId="5"/>
  </si>
  <si>
    <t>受取配当金</t>
    <phoneticPr fontId="5"/>
  </si>
  <si>
    <t>有価証券売却益</t>
    <phoneticPr fontId="5"/>
  </si>
  <si>
    <t>受取地代家賃</t>
    <phoneticPr fontId="5"/>
  </si>
  <si>
    <t>雑   収   入</t>
    <phoneticPr fontId="5"/>
  </si>
  <si>
    <t>営業外費用</t>
    <phoneticPr fontId="5"/>
  </si>
  <si>
    <t>支 払 利 息</t>
    <phoneticPr fontId="5"/>
  </si>
  <si>
    <t>利子割引料</t>
    <phoneticPr fontId="5"/>
  </si>
  <si>
    <t>有価証券売却損</t>
    <phoneticPr fontId="5"/>
  </si>
  <si>
    <t>貸倒引当金繰入</t>
    <phoneticPr fontId="5"/>
  </si>
  <si>
    <t>雑   損   失</t>
    <phoneticPr fontId="5"/>
  </si>
  <si>
    <t>社 内 金 利</t>
    <phoneticPr fontId="5"/>
  </si>
  <si>
    <t>ファイル生成日</t>
    <phoneticPr fontId="3"/>
  </si>
  <si>
    <t>業務</t>
    <phoneticPr fontId="3"/>
  </si>
  <si>
    <t>業務名</t>
    <phoneticPr fontId="3"/>
  </si>
  <si>
    <t>年度</t>
    <phoneticPr fontId="3"/>
  </si>
  <si>
    <t>会社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</si>
</sst>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65">
    <xf numFmtId="0" fontId="0" fillId="0" borderId="0" xfId="0"/>
    <xf numFmtId="38" fontId="4" fillId="2" borderId="1" xfId="1" applyFont="1" applyFill="1" applyBorder="1" applyAlignment="1" applyProtection="1">
      <alignment vertical="center"/>
    </xf>
    <xf numFmtId="38" fontId="4" fillId="2" borderId="2" xfId="1" applyFont="1" applyFill="1" applyBorder="1" applyAlignment="1" applyProtection="1">
      <alignment vertical="center"/>
    </xf>
    <xf numFmtId="38" fontId="4" fillId="2" borderId="3" xfId="1" applyFont="1" applyFill="1" applyBorder="1" applyAlignment="1" applyProtection="1">
      <alignment vertical="center"/>
    </xf>
    <xf numFmtId="38" fontId="4" fillId="2" borderId="4" xfId="1" applyFont="1" applyFill="1" applyBorder="1" applyAlignment="1" applyProtection="1">
      <alignment vertical="center"/>
    </xf>
    <xf numFmtId="38" fontId="4" fillId="2" borderId="5" xfId="1" applyFont="1" applyFill="1" applyBorder="1" applyAlignment="1" applyProtection="1">
      <alignment vertical="center"/>
    </xf>
    <xf numFmtId="38" fontId="4" fillId="2" borderId="6" xfId="1" applyFont="1" applyFill="1" applyBorder="1" applyAlignment="1" applyProtection="1">
      <alignment vertical="center"/>
    </xf>
    <xf numFmtId="38" fontId="4" fillId="2" borderId="7" xfId="1" applyFont="1" applyFill="1" applyBorder="1" applyAlignment="1" applyProtection="1">
      <alignment vertical="center"/>
    </xf>
    <xf numFmtId="38" fontId="4" fillId="2" borderId="8" xfId="1" applyFont="1" applyFill="1" applyBorder="1" applyAlignment="1" applyProtection="1">
      <alignment vertical="center"/>
    </xf>
    <xf numFmtId="38" fontId="4" fillId="2" borderId="9" xfId="1" applyFont="1" applyFill="1" applyBorder="1" applyAlignment="1" applyProtection="1">
      <alignment vertical="center"/>
    </xf>
    <xf numFmtId="38" fontId="4" fillId="2" borderId="10" xfId="1" applyFont="1" applyFill="1" applyBorder="1" applyAlignment="1" applyProtection="1">
      <alignment vertical="center"/>
    </xf>
    <xf numFmtId="38" fontId="4" fillId="2" borderId="11" xfId="1" applyFont="1" applyFill="1" applyBorder="1" applyAlignment="1" applyProtection="1">
      <alignment vertical="center"/>
    </xf>
    <xf numFmtId="38" fontId="4" fillId="2" borderId="12" xfId="1" applyFont="1" applyFill="1" applyBorder="1" applyAlignment="1" applyProtection="1">
      <alignment vertical="center"/>
    </xf>
    <xf numFmtId="38" fontId="4" fillId="2" borderId="13" xfId="1" applyFont="1" applyFill="1" applyBorder="1" applyAlignment="1" applyProtection="1">
      <alignment vertical="center"/>
    </xf>
    <xf numFmtId="38" fontId="4" fillId="2" borderId="14" xfId="1" applyFont="1" applyFill="1" applyBorder="1" applyAlignment="1" applyProtection="1">
      <alignment vertical="center"/>
    </xf>
    <xf numFmtId="38" fontId="4" fillId="2" borderId="15" xfId="1" applyFont="1" applyFill="1" applyBorder="1" applyAlignment="1" applyProtection="1">
      <alignment vertical="center"/>
    </xf>
    <xf numFmtId="38" fontId="4" fillId="2" borderId="16" xfId="1" applyFont="1" applyFill="1" applyBorder="1" applyAlignment="1" applyProtection="1">
      <alignment vertical="center"/>
    </xf>
    <xf numFmtId="38" fontId="4" fillId="2" borderId="17" xfId="1" applyFont="1" applyFill="1" applyBorder="1" applyAlignment="1" applyProtection="1">
      <alignment vertical="center"/>
    </xf>
    <xf numFmtId="49" fontId="4" fillId="3" borderId="19" xfId="1" applyNumberFormat="1" applyFont="1" applyFill="1" applyBorder="1" applyAlignment="1" applyProtection="1">
      <alignment horizontal="center" vertical="center"/>
    </xf>
    <xf numFmtId="49" fontId="4" fillId="3" borderId="20" xfId="1" applyNumberFormat="1" applyFont="1" applyFill="1" applyBorder="1" applyAlignment="1" applyProtection="1">
      <alignment horizontal="center" vertical="center"/>
    </xf>
    <xf numFmtId="49" fontId="4" fillId="3" borderId="21" xfId="1" applyNumberFormat="1" applyFont="1" applyFill="1" applyBorder="1" applyAlignment="1" applyProtection="1">
      <alignment horizontal="center" vertical="center"/>
    </xf>
    <xf numFmtId="49" fontId="4" fillId="3" borderId="15" xfId="1" applyNumberFormat="1" applyFont="1" applyFill="1" applyBorder="1" applyAlignment="1" applyProtection="1">
      <alignment horizontal="center" vertical="center"/>
    </xf>
    <xf numFmtId="0" fontId="0" fillId="0" borderId="0" xfId="0" applyAlignment="1" applyProtection="1"/>
    <xf numFmtId="0" fontId="6" fillId="0" borderId="0" xfId="0" applyFont="1" applyAlignment="1" applyProtection="1"/>
    <xf numFmtId="38" fontId="4" fillId="4" borderId="26" xfId="1" applyFont="1" applyFill="1" applyBorder="1" applyAlignment="1" applyProtection="1">
      <alignment horizontal="right" vertical="center"/>
      <protection locked="0"/>
    </xf>
    <xf numFmtId="38" fontId="4" fillId="4" borderId="27" xfId="1" applyFont="1" applyFill="1" applyBorder="1" applyAlignment="1" applyProtection="1">
      <alignment horizontal="right" vertical="center"/>
      <protection locked="0"/>
    </xf>
    <xf numFmtId="38" fontId="4" fillId="4" borderId="28" xfId="1" applyFont="1" applyFill="1" applyBorder="1" applyAlignment="1" applyProtection="1">
      <alignment horizontal="right" vertical="center"/>
      <protection locked="0"/>
    </xf>
    <xf numFmtId="38" fontId="4" fillId="4" borderId="29" xfId="1" applyFont="1" applyFill="1" applyBorder="1" applyAlignment="1" applyProtection="1">
      <alignment horizontal="right" vertical="center"/>
      <protection locked="0"/>
    </xf>
    <xf numFmtId="38" fontId="4" fillId="4" borderId="30" xfId="1" applyFont="1" applyFill="1" applyBorder="1" applyAlignment="1" applyProtection="1">
      <alignment horizontal="right" vertical="center"/>
      <protection locked="0"/>
    </xf>
    <xf numFmtId="38" fontId="4" fillId="0" borderId="31" xfId="1" applyFont="1" applyFill="1" applyBorder="1" applyAlignment="1" applyProtection="1">
      <alignment horizontal="right" vertical="center"/>
      <protection locked="0"/>
    </xf>
    <xf numFmtId="38" fontId="4" fillId="0" borderId="26" xfId="1" applyFont="1" applyFill="1" applyBorder="1" applyAlignment="1" applyProtection="1">
      <alignment horizontal="right" vertical="center"/>
      <protection locked="0"/>
    </xf>
    <xf numFmtId="38" fontId="4" fillId="4" borderId="20" xfId="1" applyFont="1" applyFill="1" applyBorder="1" applyAlignment="1" applyProtection="1">
      <alignment horizontal="right" vertical="center"/>
      <protection locked="0"/>
    </xf>
    <xf numFmtId="38" fontId="4" fillId="4" borderId="32" xfId="1" applyFont="1" applyFill="1" applyBorder="1" applyAlignment="1" applyProtection="1">
      <alignment horizontal="right" vertical="center"/>
      <protection locked="0"/>
    </xf>
    <xf numFmtId="38" fontId="4" fillId="4" borderId="33" xfId="1" applyFont="1" applyFill="1" applyBorder="1" applyAlignment="1" applyProtection="1">
      <alignment horizontal="right" vertical="center"/>
      <protection locked="0"/>
    </xf>
    <xf numFmtId="38" fontId="4" fillId="4" borderId="34" xfId="1" applyFont="1" applyFill="1" applyBorder="1" applyAlignment="1" applyProtection="1">
      <alignment horizontal="right" vertical="center"/>
      <protection locked="0"/>
    </xf>
    <xf numFmtId="38" fontId="4" fillId="4" borderId="21" xfId="1" applyFont="1" applyFill="1" applyBorder="1" applyAlignment="1" applyProtection="1">
      <alignment horizontal="right" vertical="center"/>
      <protection locked="0"/>
    </xf>
    <xf numFmtId="38" fontId="4" fillId="4" borderId="35" xfId="1" applyFont="1" applyFill="1" applyBorder="1" applyAlignment="1" applyProtection="1">
      <alignment horizontal="right" vertical="center"/>
      <protection locked="0"/>
    </xf>
    <xf numFmtId="38" fontId="4" fillId="0" borderId="29" xfId="1" applyFont="1" applyFill="1" applyBorder="1" applyAlignment="1" applyProtection="1">
      <alignment horizontal="right" vertical="center"/>
      <protection locked="0"/>
    </xf>
    <xf numFmtId="38" fontId="4" fillId="4" borderId="36" xfId="1" applyFont="1" applyFill="1" applyBorder="1" applyAlignment="1" applyProtection="1">
      <alignment horizontal="right" vertical="center"/>
      <protection locked="0"/>
    </xf>
    <xf numFmtId="38" fontId="4" fillId="4" borderId="37" xfId="1" applyFont="1" applyFill="1" applyBorder="1" applyAlignment="1" applyProtection="1">
      <alignment horizontal="right" vertical="center"/>
      <protection locked="0"/>
    </xf>
    <xf numFmtId="38" fontId="4" fillId="4" borderId="19" xfId="1" applyFont="1" applyFill="1" applyBorder="1" applyAlignment="1" applyProtection="1">
      <alignment horizontal="right" vertical="center"/>
      <protection locked="0"/>
    </xf>
    <xf numFmtId="49" fontId="4" fillId="4" borderId="39" xfId="0" applyNumberFormat="1" applyFont="1" applyFill="1" applyBorder="1" applyAlignment="1" applyProtection="1">
      <alignment vertical="center"/>
    </xf>
    <xf numFmtId="49" fontId="2" fillId="4" borderId="39" xfId="0" applyNumberFormat="1" applyFont="1" applyFill="1" applyBorder="1" applyAlignment="1" applyProtection="1">
      <alignment vertical="center"/>
    </xf>
    <xf numFmtId="0" fontId="2" fillId="4" borderId="39" xfId="0" applyFont="1" applyFill="1" applyBorder="1" applyAlignment="1" applyProtection="1">
      <alignment vertical="center"/>
    </xf>
    <xf numFmtId="0" fontId="4" fillId="4" borderId="39" xfId="0" applyFont="1" applyFill="1" applyBorder="1" applyAlignment="1" applyProtection="1">
      <alignment vertical="center"/>
    </xf>
    <xf numFmtId="38" fontId="4" fillId="2" borderId="41" xfId="1" applyFont="1" applyFill="1" applyBorder="1" applyAlignment="1" applyProtection="1">
      <alignment vertical="center"/>
    </xf>
    <xf numFmtId="38" fontId="4" fillId="4" borderId="41" xfId="1" applyFont="1" applyFill="1" applyBorder="1" applyAlignment="1" applyProtection="1">
      <alignment horizontal="right" vertical="center"/>
      <protection locked="0"/>
    </xf>
    <xf numFmtId="38" fontId="4" fillId="4" borderId="24" xfId="1" applyFont="1" applyFill="1" applyBorder="1" applyAlignment="1" applyProtection="1">
      <alignment horizontal="right" vertical="center"/>
      <protection locked="0"/>
    </xf>
    <xf numFmtId="38" fontId="4" fillId="2" borderId="24" xfId="1" applyFont="1" applyFill="1" applyBorder="1" applyAlignment="1" applyProtection="1">
      <alignment vertical="center"/>
    </xf>
    <xf numFmtId="38" fontId="4" fillId="4" borderId="17" xfId="1" applyFont="1" applyFill="1" applyBorder="1" applyAlignment="1" applyProtection="1">
      <alignment horizontal="right" vertical="center"/>
      <protection locked="0"/>
    </xf>
    <xf numFmtId="49" fontId="4" fillId="3" borderId="3" xfId="1" applyNumberFormat="1" applyFont="1" applyFill="1" applyBorder="1" applyAlignment="1" applyProtection="1">
      <alignment horizontal="center" vertical="center"/>
    </xf>
    <xf numFmtId="49" fontId="4" fillId="3" borderId="4" xfId="1" applyNumberFormat="1" applyFont="1" applyFill="1" applyBorder="1" applyAlignment="1" applyProtection="1">
      <alignment horizontal="center" vertical="center"/>
    </xf>
    <xf numFmtId="49" fontId="4" fillId="3" borderId="12" xfId="1" applyNumberFormat="1" applyFont="1" applyFill="1" applyBorder="1" applyAlignment="1" applyProtection="1">
      <alignment horizontal="center" vertical="center"/>
    </xf>
    <xf numFmtId="49" fontId="2" fillId="3" borderId="24" xfId="1" applyNumberFormat="1" applyFont="1" applyFill="1" applyBorder="1" applyAlignment="1" applyProtection="1">
      <alignment horizontal="center" vertical="center"/>
    </xf>
    <xf numFmtId="49" fontId="2" fillId="3" borderId="41" xfId="1" applyNumberFormat="1" applyFont="1" applyFill="1" applyBorder="1" applyAlignment="1" applyProtection="1">
      <alignment horizontal="center" vertical="center"/>
    </xf>
    <xf numFmtId="49" fontId="2" fillId="3" borderId="12" xfId="1" applyNumberFormat="1" applyFont="1" applyFill="1" applyBorder="1" applyAlignment="1" applyProtection="1">
      <alignment horizontal="center" vertical="center"/>
    </xf>
    <xf numFmtId="38" fontId="4" fillId="4" borderId="38" xfId="1" applyFont="1" applyFill="1" applyBorder="1" applyAlignment="1" applyProtection="1">
      <alignment horizontal="right" vertical="center"/>
      <protection locked="0"/>
    </xf>
    <xf numFmtId="38" fontId="4" fillId="4" borderId="43" xfId="1" applyFont="1" applyFill="1" applyBorder="1" applyAlignment="1" applyProtection="1">
      <alignment horizontal="right" vertical="center"/>
      <protection locked="0"/>
    </xf>
    <xf numFmtId="38" fontId="4" fillId="2" borderId="43" xfId="1" applyFont="1" applyFill="1" applyBorder="1" applyAlignment="1" applyProtection="1">
      <alignment vertical="center"/>
    </xf>
    <xf numFmtId="38" fontId="4" fillId="2" borderId="25" xfId="1" applyFont="1" applyFill="1" applyBorder="1" applyAlignment="1" applyProtection="1">
      <alignment vertical="center"/>
    </xf>
    <xf numFmtId="38" fontId="4" fillId="4" borderId="44" xfId="1" applyFont="1" applyFill="1" applyBorder="1" applyAlignment="1" applyProtection="1">
      <alignment horizontal="right" vertical="center"/>
      <protection locked="0"/>
    </xf>
    <xf numFmtId="38" fontId="4" fillId="2" borderId="44" xfId="1" applyFont="1" applyFill="1" applyBorder="1" applyAlignment="1" applyProtection="1">
      <alignment vertical="center"/>
    </xf>
    <xf numFmtId="38" fontId="4" fillId="2" borderId="32" xfId="1" applyFont="1" applyFill="1" applyBorder="1" applyAlignment="1" applyProtection="1">
      <alignment vertical="center"/>
    </xf>
    <xf numFmtId="38" fontId="4" fillId="4" borderId="45" xfId="1" applyFont="1" applyFill="1" applyBorder="1" applyAlignment="1" applyProtection="1">
      <alignment horizontal="right" vertical="center"/>
      <protection locked="0"/>
    </xf>
    <xf numFmtId="38" fontId="4" fillId="2" borderId="45" xfId="1" applyFont="1" applyFill="1" applyBorder="1" applyAlignment="1" applyProtection="1">
      <alignment vertical="center"/>
    </xf>
    <xf numFmtId="49" fontId="4" fillId="0" borderId="4" xfId="1" applyNumberFormat="1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49" fontId="4" fillId="0" borderId="15" xfId="1" applyNumberFormat="1" applyFont="1" applyFill="1" applyBorder="1" applyAlignment="1" applyProtection="1">
      <alignment horizontal="center" vertical="center"/>
      <protection locked="0"/>
    </xf>
    <xf numFmtId="49" fontId="4" fillId="0" borderId="11" xfId="1" applyNumberFormat="1" applyFont="1" applyFill="1" applyBorder="1" applyAlignment="1" applyProtection="1">
      <alignment horizontal="center" vertical="center"/>
      <protection locked="0"/>
    </xf>
    <xf numFmtId="49" fontId="2" fillId="0" borderId="7" xfId="1" applyNumberFormat="1" applyFont="1" applyFill="1" applyBorder="1" applyAlignment="1" applyProtection="1">
      <alignment horizontal="center" vertical="center"/>
    </xf>
    <xf numFmtId="38" fontId="4" fillId="4" borderId="49" xfId="1" applyFont="1" applyFill="1" applyBorder="1" applyAlignment="1" applyProtection="1">
      <alignment horizontal="right" vertical="center"/>
      <protection locked="0"/>
    </xf>
    <xf numFmtId="38" fontId="4" fillId="4" borderId="22" xfId="1" applyFont="1" applyFill="1" applyBorder="1" applyAlignment="1" applyProtection="1">
      <alignment horizontal="right" vertical="center"/>
      <protection locked="0"/>
    </xf>
    <xf numFmtId="49" fontId="4" fillId="3" borderId="24" xfId="1" applyNumberFormat="1" applyFont="1" applyFill="1" applyBorder="1" applyAlignment="1" applyProtection="1">
      <alignment horizontal="center" vertical="center"/>
    </xf>
    <xf numFmtId="49" fontId="4" fillId="3" borderId="17" xfId="1" applyNumberFormat="1" applyFont="1" applyFill="1" applyBorder="1" applyAlignment="1" applyProtection="1">
      <alignment horizontal="center" vertical="center"/>
    </xf>
    <xf numFmtId="49" fontId="4" fillId="3" borderId="50" xfId="1" applyNumberFormat="1" applyFont="1" applyFill="1" applyBorder="1" applyAlignment="1" applyProtection="1">
      <alignment horizontal="center" vertical="center"/>
    </xf>
    <xf numFmtId="49" fontId="4" fillId="3" borderId="51" xfId="1" applyNumberFormat="1" applyFont="1" applyFill="1" applyBorder="1" applyAlignment="1" applyProtection="1">
      <alignment horizontal="center" vertical="center"/>
    </xf>
    <xf numFmtId="49" fontId="4" fillId="3" borderId="41" xfId="1" applyNumberFormat="1" applyFont="1" applyFill="1" applyBorder="1" applyAlignment="1" applyProtection="1">
      <alignment horizontal="center" vertical="center"/>
    </xf>
    <xf numFmtId="38" fontId="4" fillId="2" borderId="51" xfId="1" applyFont="1" applyFill="1" applyBorder="1" applyAlignment="1" applyProtection="1">
      <alignment vertical="center"/>
    </xf>
    <xf numFmtId="38" fontId="4" fillId="4" borderId="51" xfId="1" applyFont="1" applyFill="1" applyBorder="1" applyAlignment="1" applyProtection="1">
      <alignment horizontal="right" vertical="center"/>
      <protection locked="0"/>
    </xf>
    <xf numFmtId="38" fontId="4" fillId="2" borderId="52" xfId="1" applyFont="1" applyFill="1" applyBorder="1" applyAlignment="1" applyProtection="1">
      <alignment vertical="center"/>
    </xf>
    <xf numFmtId="38" fontId="4" fillId="2" borderId="53" xfId="1" applyFont="1" applyFill="1" applyBorder="1" applyAlignment="1" applyProtection="1">
      <alignment vertical="center"/>
    </xf>
    <xf numFmtId="38" fontId="4" fillId="2" borderId="54" xfId="1" applyFont="1" applyFill="1" applyBorder="1" applyAlignment="1" applyProtection="1">
      <alignment vertical="center"/>
    </xf>
    <xf numFmtId="49" fontId="4" fillId="3" borderId="55" xfId="1" applyNumberFormat="1" applyFont="1" applyFill="1" applyBorder="1" applyAlignment="1" applyProtection="1">
      <alignment horizontal="center" vertical="center"/>
    </xf>
    <xf numFmtId="38" fontId="4" fillId="3" borderId="55" xfId="1" applyFont="1" applyFill="1" applyBorder="1" applyAlignment="1" applyProtection="1">
      <alignment horizontal="center" vertical="center"/>
    </xf>
    <xf numFmtId="38" fontId="4" fillId="3" borderId="7" xfId="1" applyFont="1" applyFill="1" applyBorder="1" applyAlignment="1" applyProtection="1">
      <alignment horizontal="center" vertical="center"/>
    </xf>
    <xf numFmtId="0" fontId="0" fillId="0" borderId="0" xfId="0" applyBorder="1" applyAlignment="1" applyProtection="1"/>
    <xf numFmtId="49" fontId="2" fillId="3" borderId="7" xfId="1" applyNumberFormat="1" applyFont="1" applyFill="1" applyBorder="1" applyAlignment="1" applyProtection="1">
      <alignment horizontal="center" vertical="center"/>
    </xf>
    <xf numFmtId="49" fontId="2" fillId="3" borderId="15" xfId="1" applyNumberFormat="1" applyFont="1" applyFill="1" applyBorder="1" applyAlignment="1" applyProtection="1">
      <alignment horizontal="center" vertical="center"/>
    </xf>
    <xf numFmtId="38" fontId="4" fillId="4" borderId="56" xfId="1" applyFont="1" applyFill="1" applyBorder="1" applyAlignment="1" applyProtection="1">
      <alignment horizontal="right" vertical="center"/>
      <protection locked="0"/>
    </xf>
    <xf numFmtId="38" fontId="4" fillId="4" borderId="13" xfId="1" applyFont="1" applyFill="1" applyBorder="1" applyAlignment="1" applyProtection="1">
      <alignment horizontal="right" vertical="center"/>
      <protection locked="0"/>
    </xf>
    <xf numFmtId="38" fontId="4" fillId="4" borderId="8" xfId="1" applyFont="1" applyFill="1" applyBorder="1" applyAlignment="1" applyProtection="1">
      <alignment horizontal="right" vertical="center"/>
      <protection locked="0"/>
    </xf>
    <xf numFmtId="38" fontId="4" fillId="4" borderId="16" xfId="1" applyFont="1" applyFill="1" applyBorder="1" applyAlignment="1" applyProtection="1">
      <alignment horizontal="right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38" fontId="4" fillId="5" borderId="37" xfId="1" applyFont="1" applyFill="1" applyBorder="1" applyAlignment="1" applyProtection="1">
      <alignment horizontal="right" vertical="center"/>
      <protection locked="0"/>
    </xf>
    <xf numFmtId="38" fontId="4" fillId="5" borderId="30" xfId="1" applyFont="1" applyFill="1" applyBorder="1" applyAlignment="1" applyProtection="1">
      <alignment horizontal="right" vertical="center"/>
      <protection locked="0"/>
    </xf>
    <xf numFmtId="38" fontId="4" fillId="5" borderId="35" xfId="1" applyFont="1" applyFill="1" applyBorder="1" applyAlignment="1" applyProtection="1">
      <alignment horizontal="right" vertical="center"/>
      <protection locked="0"/>
    </xf>
    <xf numFmtId="38" fontId="4" fillId="5" borderId="29" xfId="1" applyFont="1" applyFill="1" applyBorder="1" applyAlignment="1" applyProtection="1">
      <alignment horizontal="right" vertical="center"/>
      <protection locked="0"/>
    </xf>
    <xf numFmtId="38" fontId="4" fillId="5" borderId="21" xfId="1" applyFont="1" applyFill="1" applyBorder="1" applyAlignment="1" applyProtection="1">
      <alignment horizontal="right" vertical="center"/>
      <protection locked="0"/>
    </xf>
    <xf numFmtId="38" fontId="4" fillId="2" borderId="38" xfId="1" applyFont="1" applyFill="1" applyBorder="1" applyAlignment="1" applyProtection="1">
      <alignment vertical="center"/>
    </xf>
    <xf numFmtId="38" fontId="4" fillId="2" borderId="27" xfId="1" applyFont="1" applyFill="1" applyBorder="1" applyAlignment="1" applyProtection="1">
      <alignment vertical="center"/>
    </xf>
    <xf numFmtId="38" fontId="4" fillId="2" borderId="20" xfId="1" applyFont="1" applyFill="1" applyBorder="1" applyAlignment="1" applyProtection="1">
      <alignment vertical="center"/>
    </xf>
    <xf numFmtId="38" fontId="4" fillId="2" borderId="47" xfId="1" applyFont="1" applyFill="1" applyBorder="1" applyAlignment="1" applyProtection="1">
      <alignment vertical="center"/>
    </xf>
    <xf numFmtId="38" fontId="4" fillId="5" borderId="60" xfId="1" applyFont="1" applyFill="1" applyBorder="1" applyAlignment="1" applyProtection="1">
      <alignment horizontal="right" vertical="center"/>
      <protection locked="0"/>
    </xf>
    <xf numFmtId="38" fontId="4" fillId="5" borderId="61" xfId="1" applyFont="1" applyFill="1" applyBorder="1" applyAlignment="1" applyProtection="1">
      <alignment horizontal="right" vertical="center"/>
      <protection locked="0"/>
    </xf>
    <xf numFmtId="38" fontId="4" fillId="5" borderId="23" xfId="1" applyFont="1" applyFill="1" applyBorder="1" applyAlignment="1" applyProtection="1">
      <alignment horizontal="right" vertical="center"/>
      <protection locked="0"/>
    </xf>
    <xf numFmtId="38" fontId="4" fillId="5" borderId="47" xfId="1" applyFont="1" applyFill="1" applyBorder="1" applyAlignment="1" applyProtection="1">
      <alignment horizontal="right" vertical="center"/>
      <protection locked="0"/>
    </xf>
    <xf numFmtId="38" fontId="4" fillId="4" borderId="18" xfId="1" applyFont="1" applyFill="1" applyBorder="1" applyAlignment="1" applyProtection="1">
      <alignment horizontal="right" vertical="center"/>
      <protection locked="0"/>
    </xf>
    <xf numFmtId="38" fontId="4" fillId="4" borderId="14" xfId="1" applyFont="1" applyFill="1" applyBorder="1" applyAlignment="1" applyProtection="1">
      <alignment horizontal="right" vertical="center"/>
      <protection locked="0"/>
    </xf>
    <xf numFmtId="0" fontId="1" fillId="0" borderId="0" xfId="0" applyFont="1" applyAlignment="1" applyProtection="1"/>
    <xf numFmtId="0" fontId="1" fillId="0" borderId="0" xfId="0" applyFont="1"/>
    <xf numFmtId="2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8" fontId="4" fillId="5" borderId="1" xfId="1" applyFont="1" applyFill="1" applyBorder="1" applyAlignment="1" applyProtection="1">
      <alignment vertical="center"/>
      <protection locked="0"/>
    </xf>
    <xf numFmtId="38" fontId="4" fillId="5" borderId="25" xfId="1" applyFont="1" applyFill="1" applyBorder="1" applyAlignment="1" applyProtection="1">
      <alignment vertical="center"/>
      <protection locked="0"/>
    </xf>
    <xf numFmtId="38" fontId="4" fillId="5" borderId="32" xfId="1" applyFont="1" applyFill="1" applyBorder="1" applyAlignment="1" applyProtection="1">
      <alignment vertical="center"/>
      <protection locked="0"/>
    </xf>
    <xf numFmtId="38" fontId="4" fillId="5" borderId="38" xfId="1" applyFont="1" applyFill="1" applyBorder="1" applyAlignment="1" applyProtection="1">
      <alignment vertical="center"/>
      <protection locked="0"/>
    </xf>
    <xf numFmtId="38" fontId="4" fillId="5" borderId="27" xfId="1" applyFont="1" applyFill="1" applyBorder="1" applyAlignment="1" applyProtection="1">
      <alignment vertical="center"/>
      <protection locked="0"/>
    </xf>
    <xf numFmtId="38" fontId="4" fillId="5" borderId="20" xfId="1" applyFont="1" applyFill="1" applyBorder="1" applyAlignment="1" applyProtection="1">
      <alignment vertical="center"/>
      <protection locked="0"/>
    </xf>
    <xf numFmtId="38" fontId="4" fillId="5" borderId="2" xfId="1" applyFont="1" applyFill="1" applyBorder="1" applyAlignment="1" applyProtection="1">
      <alignment vertical="center"/>
      <protection locked="0"/>
    </xf>
    <xf numFmtId="38" fontId="4" fillId="5" borderId="24" xfId="1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hidden="1"/>
    </xf>
    <xf numFmtId="0" fontId="0" fillId="0" borderId="0" xfId="0" applyAlignment="1" applyProtection="1">
      <protection hidden="1"/>
    </xf>
    <xf numFmtId="0" fontId="1" fillId="0" borderId="0" xfId="0" applyFont="1" applyAlignment="1" applyProtection="1">
      <protection hidden="1"/>
    </xf>
    <xf numFmtId="0" fontId="8" fillId="6" borderId="7" xfId="0" applyFont="1" applyFill="1" applyBorder="1" applyAlignment="1" applyProtection="1">
      <alignment horizontal="center" vertical="center"/>
      <protection hidden="1"/>
    </xf>
    <xf numFmtId="49" fontId="4" fillId="3" borderId="7" xfId="1" applyNumberFormat="1" applyFont="1" applyFill="1" applyBorder="1" applyAlignment="1" applyProtection="1">
      <alignment horizontal="center" vertical="center"/>
    </xf>
    <xf numFmtId="49" fontId="2" fillId="3" borderId="53" xfId="1" applyNumberFormat="1" applyFont="1" applyFill="1" applyBorder="1" applyAlignment="1" applyProtection="1">
      <alignment horizontal="center" vertical="center"/>
    </xf>
    <xf numFmtId="49" fontId="2" fillId="3" borderId="51" xfId="1" applyNumberFormat="1" applyFont="1" applyFill="1" applyBorder="1" applyAlignment="1" applyProtection="1">
      <alignment horizontal="center" vertical="center"/>
    </xf>
    <xf numFmtId="49" fontId="2" fillId="3" borderId="17" xfId="1" applyNumberFormat="1" applyFont="1" applyFill="1" applyBorder="1" applyAlignment="1" applyProtection="1">
      <alignment horizontal="center" vertical="center"/>
    </xf>
    <xf numFmtId="49" fontId="2" fillId="3" borderId="14" xfId="1" applyNumberFormat="1" applyFont="1" applyFill="1" applyBorder="1" applyAlignment="1" applyProtection="1">
      <alignment horizontal="center" vertical="center"/>
    </xf>
    <xf numFmtId="49" fontId="2" fillId="3" borderId="2" xfId="1" applyNumberFormat="1" applyFont="1" applyFill="1" applyBorder="1" applyAlignment="1" applyProtection="1">
      <alignment horizontal="center" vertical="center"/>
    </xf>
    <xf numFmtId="49" fontId="2" fillId="3" borderId="18" xfId="1" applyNumberFormat="1" applyFont="1" applyFill="1" applyBorder="1" applyAlignment="1" applyProtection="1">
      <alignment horizontal="center" vertical="center"/>
    </xf>
    <xf numFmtId="49" fontId="2" fillId="4" borderId="48" xfId="0" applyNumberFormat="1" applyFont="1" applyFill="1" applyBorder="1" applyAlignment="1" applyProtection="1">
      <alignment horizontal="center" vertical="center"/>
    </xf>
    <xf numFmtId="49" fontId="2" fillId="3" borderId="11" xfId="1" applyNumberFormat="1" applyFont="1" applyFill="1" applyBorder="1" applyAlignment="1" applyProtection="1">
      <alignment horizontal="center" vertical="center"/>
    </xf>
    <xf numFmtId="49" fontId="2" fillId="3" borderId="4" xfId="1" applyNumberFormat="1" applyFont="1" applyFill="1" applyBorder="1" applyAlignment="1" applyProtection="1">
      <alignment horizontal="center" vertical="center"/>
    </xf>
    <xf numFmtId="49" fontId="2" fillId="3" borderId="5" xfId="1" applyNumberFormat="1" applyFont="1" applyFill="1" applyBorder="1" applyAlignment="1" applyProtection="1">
      <alignment horizontal="center" vertical="center"/>
    </xf>
    <xf numFmtId="49" fontId="2" fillId="3" borderId="50" xfId="1" applyNumberFormat="1" applyFont="1" applyFill="1" applyBorder="1" applyAlignment="1" applyProtection="1">
      <alignment horizontal="center" vertical="center"/>
    </xf>
    <xf numFmtId="49" fontId="2" fillId="3" borderId="59" xfId="1" applyNumberFormat="1" applyFont="1" applyFill="1" applyBorder="1" applyAlignment="1" applyProtection="1">
      <alignment horizontal="center" vertical="center"/>
    </xf>
    <xf numFmtId="49" fontId="2" fillId="3" borderId="57" xfId="1" applyNumberFormat="1" applyFont="1" applyFill="1" applyBorder="1" applyAlignment="1" applyProtection="1">
      <alignment horizontal="center" vertical="center"/>
    </xf>
    <xf numFmtId="49" fontId="2" fillId="3" borderId="58" xfId="1" applyNumberFormat="1" applyFont="1" applyFill="1" applyBorder="1" applyAlignment="1" applyProtection="1">
      <alignment horizontal="center" vertical="center"/>
    </xf>
    <xf numFmtId="49" fontId="2" fillId="3" borderId="24" xfId="1" applyNumberFormat="1" applyFont="1" applyFill="1" applyBorder="1" applyAlignment="1" applyProtection="1">
      <alignment horizontal="center" vertical="center"/>
    </xf>
    <xf numFmtId="49" fontId="2" fillId="3" borderId="59" xfId="1" applyNumberFormat="1" applyFont="1" applyFill="1" applyBorder="1" applyAlignment="1" applyProtection="1">
      <alignment horizontal="center" vertical="center"/>
    </xf>
    <xf numFmtId="49" fontId="2" fillId="3" borderId="10" xfId="1" applyNumberFormat="1" applyFont="1" applyFill="1" applyBorder="1" applyAlignment="1" applyProtection="1">
      <alignment horizontal="center" vertical="center"/>
    </xf>
    <xf numFmtId="49" fontId="2" fillId="3" borderId="12" xfId="1" applyNumberFormat="1" applyFont="1" applyFill="1" applyBorder="1" applyAlignment="1" applyProtection="1">
      <alignment horizontal="center" vertical="center"/>
    </xf>
    <xf numFmtId="49" fontId="2" fillId="3" borderId="62" xfId="1" applyNumberFormat="1" applyFont="1" applyFill="1" applyBorder="1" applyAlignment="1" applyProtection="1">
      <alignment horizontal="center" vertical="center"/>
    </xf>
    <xf numFmtId="49" fontId="2" fillId="3" borderId="40" xfId="1" applyNumberFormat="1" applyFont="1" applyFill="1" applyBorder="1" applyAlignment="1" applyProtection="1">
      <alignment horizontal="center" vertical="center"/>
    </xf>
    <xf numFmtId="49" fontId="2" fillId="3" borderId="41" xfId="1" applyNumberFormat="1" applyFont="1" applyFill="1" applyBorder="1" applyAlignment="1" applyProtection="1">
      <alignment horizontal="center" vertical="center"/>
    </xf>
    <xf numFmtId="49" fontId="2" fillId="3" borderId="55" xfId="1" applyNumberFormat="1" applyFont="1" applyFill="1" applyBorder="1" applyAlignment="1" applyProtection="1">
      <alignment horizontal="center" vertical="center"/>
    </xf>
    <xf numFmtId="49" fontId="2" fillId="3" borderId="42" xfId="1" applyNumberFormat="1" applyFont="1" applyFill="1" applyBorder="1" applyAlignment="1" applyProtection="1">
      <alignment horizontal="center" vertical="center"/>
    </xf>
    <xf numFmtId="49" fontId="2" fillId="3" borderId="14" xfId="1" applyNumberFormat="1" applyFont="1" applyFill="1" applyBorder="1" applyAlignment="1" applyProtection="1">
      <alignment horizontal="center" vertical="center"/>
    </xf>
    <xf numFmtId="0" fontId="7" fillId="0" borderId="55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8" fillId="6" borderId="55" xfId="0" applyFont="1" applyFill="1" applyBorder="1" applyAlignment="1" applyProtection="1">
      <alignment horizontal="center" vertical="center"/>
      <protection hidden="1"/>
    </xf>
    <xf numFmtId="0" fontId="8" fillId="6" borderId="14" xfId="0" applyFont="1" applyFill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/>
      <protection hidden="1"/>
    </xf>
    <xf numFmtId="49" fontId="4" fillId="3" borderId="7" xfId="1" applyNumberFormat="1" applyFont="1" applyFill="1" applyBorder="1" applyAlignment="1" applyProtection="1">
      <alignment horizontal="center" vertical="center"/>
    </xf>
    <xf numFmtId="49" fontId="2" fillId="3" borderId="46" xfId="1" applyNumberFormat="1" applyFont="1" applyFill="1" applyBorder="1" applyAlignment="1" applyProtection="1">
      <alignment horizontal="center" vertical="center" textRotation="255"/>
    </xf>
    <xf numFmtId="49" fontId="2" fillId="3" borderId="47" xfId="1" applyNumberFormat="1" applyFont="1" applyFill="1" applyBorder="1" applyAlignment="1" applyProtection="1">
      <alignment horizontal="center" vertical="center" textRotation="255"/>
    </xf>
    <xf numFmtId="49" fontId="2" fillId="3" borderId="41" xfId="1" applyNumberFormat="1" applyFont="1" applyFill="1" applyBorder="1" applyAlignment="1" applyProtection="1">
      <alignment horizontal="center" vertical="center" textRotation="255"/>
    </xf>
    <xf numFmtId="49" fontId="2" fillId="3" borderId="59" xfId="1" applyNumberFormat="1" applyFont="1" applyFill="1" applyBorder="1" applyAlignment="1" applyProtection="1">
      <alignment horizontal="center" vertical="center" textRotation="255"/>
    </xf>
    <xf numFmtId="49" fontId="2" fillId="3" borderId="10" xfId="1" applyNumberFormat="1" applyFont="1" applyFill="1" applyBorder="1" applyAlignment="1" applyProtection="1">
      <alignment horizontal="center" vertical="center" textRotation="255"/>
    </xf>
    <xf numFmtId="49" fontId="2" fillId="3" borderId="12" xfId="1" applyNumberFormat="1" applyFont="1" applyFill="1" applyBorder="1" applyAlignment="1" applyProtection="1">
      <alignment horizontal="center" vertical="center" textRotation="255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80"/>
  <sheetViews>
    <sheetView showGridLines="0" tabSelected="1" zoomScale="130" zoomScaleNormal="130" workbookViewId="0">
      <selection activeCell="D1" sqref="D1"/>
    </sheetView>
  </sheetViews>
  <sheetFormatPr defaultColWidth="9" defaultRowHeight="13.5" x14ac:dyDescent="0.15"/>
  <cols>
    <col min="1" max="3" width="8" style="22" customWidth="1"/>
    <col min="4" max="5" width="9.375" style="22" customWidth="1"/>
    <col min="6" max="6" width="8" style="22" customWidth="1"/>
    <col min="7" max="7" width="2.25" style="22" customWidth="1"/>
    <col min="8" max="8" width="5.625" style="22" customWidth="1"/>
    <col min="9" max="9" width="2" style="22" customWidth="1"/>
    <col min="10" max="10" width="10.5" style="22" customWidth="1"/>
    <col min="11" max="25" width="6.75" style="22" customWidth="1"/>
    <col min="26" max="16384" width="9" style="22"/>
  </cols>
  <sheetData>
    <row r="1" spans="1:26" ht="21" customHeight="1" x14ac:dyDescent="0.15">
      <c r="G1" s="124">
        <f>Settings!B4</f>
        <v>0</v>
      </c>
      <c r="H1" s="125"/>
      <c r="I1" s="125"/>
      <c r="J1" s="126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</row>
    <row r="2" spans="1:26" ht="21" customHeight="1" x14ac:dyDescent="0.15">
      <c r="G2" s="155" t="s">
        <v>124</v>
      </c>
      <c r="H2" s="156"/>
      <c r="I2" s="153">
        <f>Settings!B5</f>
        <v>0</v>
      </c>
      <c r="J2" s="154"/>
      <c r="K2" s="125"/>
      <c r="L2" s="127" t="s">
        <v>125</v>
      </c>
      <c r="M2" s="153">
        <f>Settings!B7</f>
        <v>0</v>
      </c>
      <c r="N2" s="157"/>
      <c r="O2" s="157"/>
      <c r="P2" s="157"/>
      <c r="Q2" s="154"/>
      <c r="R2" s="125"/>
      <c r="S2" s="125"/>
      <c r="T2" s="125"/>
      <c r="U2" s="125"/>
      <c r="V2" s="125"/>
      <c r="W2" s="125"/>
      <c r="X2" s="125"/>
      <c r="Y2" s="125"/>
    </row>
    <row r="3" spans="1:26" ht="3" customHeight="1" x14ac:dyDescent="0.15">
      <c r="G3" s="111"/>
      <c r="J3" s="111"/>
    </row>
    <row r="4" spans="1:26" ht="13.5" customHeight="1" x14ac:dyDescent="0.15">
      <c r="A4" s="70" t="s">
        <v>126</v>
      </c>
      <c r="B4" s="70" t="s">
        <v>127</v>
      </c>
      <c r="C4" s="70" t="s">
        <v>128</v>
      </c>
      <c r="D4" s="70" t="s">
        <v>7</v>
      </c>
      <c r="E4" s="70" t="s">
        <v>129</v>
      </c>
      <c r="F4" s="70" t="s">
        <v>130</v>
      </c>
      <c r="G4" s="158" t="s">
        <v>131</v>
      </c>
      <c r="H4" s="158"/>
      <c r="I4" s="83" t="s">
        <v>132</v>
      </c>
      <c r="J4" s="83" t="s">
        <v>133</v>
      </c>
      <c r="K4" s="84" t="s">
        <v>134</v>
      </c>
      <c r="L4" s="84" t="s">
        <v>135</v>
      </c>
      <c r="M4" s="84" t="s">
        <v>22</v>
      </c>
      <c r="N4" s="84" t="s">
        <v>23</v>
      </c>
      <c r="O4" s="84" t="s">
        <v>136</v>
      </c>
      <c r="P4" s="84" t="s">
        <v>137</v>
      </c>
      <c r="Q4" s="84" t="s">
        <v>138</v>
      </c>
      <c r="R4" s="84" t="s">
        <v>139</v>
      </c>
      <c r="S4" s="84" t="s">
        <v>140</v>
      </c>
      <c r="T4" s="84" t="s">
        <v>24</v>
      </c>
      <c r="U4" s="84" t="s">
        <v>25</v>
      </c>
      <c r="V4" s="84" t="s">
        <v>26</v>
      </c>
      <c r="W4" s="84" t="s">
        <v>27</v>
      </c>
      <c r="X4" s="84" t="s">
        <v>28</v>
      </c>
      <c r="Y4" s="85" t="s">
        <v>29</v>
      </c>
      <c r="Z4" s="23"/>
    </row>
    <row r="5" spans="1:26" ht="13.5" customHeight="1" x14ac:dyDescent="0.15">
      <c r="A5" s="69"/>
      <c r="B5" s="69"/>
      <c r="C5" s="69"/>
      <c r="D5" s="93" t="s">
        <v>6</v>
      </c>
      <c r="E5" s="69"/>
      <c r="F5" s="69" t="s">
        <v>6</v>
      </c>
      <c r="G5" s="162" t="s">
        <v>141</v>
      </c>
      <c r="H5" s="75" t="s">
        <v>39</v>
      </c>
      <c r="I5" s="139" t="s">
        <v>33</v>
      </c>
      <c r="J5" s="129" t="s">
        <v>92</v>
      </c>
      <c r="K5" s="81">
        <f>L5+S5</f>
        <v>0</v>
      </c>
      <c r="L5" s="81">
        <f t="shared" ref="L5:L25" si="0">SUM(M5:R5)</f>
        <v>0</v>
      </c>
      <c r="M5" s="1">
        <f t="shared" ref="M5:R5" si="1">M6+M7</f>
        <v>0</v>
      </c>
      <c r="N5" s="80">
        <f t="shared" si="1"/>
        <v>0</v>
      </c>
      <c r="O5" s="59">
        <f t="shared" si="1"/>
        <v>0</v>
      </c>
      <c r="P5" s="59">
        <f t="shared" si="1"/>
        <v>0</v>
      </c>
      <c r="Q5" s="59">
        <f t="shared" si="1"/>
        <v>0</v>
      </c>
      <c r="R5" s="82">
        <f t="shared" si="1"/>
        <v>0</v>
      </c>
      <c r="S5" s="3">
        <f t="shared" ref="S5:S54" si="2">SUM(T5:Y5)</f>
        <v>0</v>
      </c>
      <c r="T5" s="80">
        <f t="shared" ref="T5:Y5" si="3">T6+T7</f>
        <v>0</v>
      </c>
      <c r="U5" s="59">
        <f t="shared" si="3"/>
        <v>0</v>
      </c>
      <c r="V5" s="59">
        <f t="shared" si="3"/>
        <v>0</v>
      </c>
      <c r="W5" s="59">
        <f t="shared" si="3"/>
        <v>0</v>
      </c>
      <c r="X5" s="59">
        <f t="shared" si="3"/>
        <v>0</v>
      </c>
      <c r="Y5" s="62">
        <f t="shared" si="3"/>
        <v>0</v>
      </c>
    </row>
    <row r="6" spans="1:26" ht="13.5" customHeight="1" x14ac:dyDescent="0.15">
      <c r="A6" s="65"/>
      <c r="B6" s="65" t="s">
        <v>6</v>
      </c>
      <c r="C6" s="65" t="s">
        <v>6</v>
      </c>
      <c r="D6" s="94" t="s">
        <v>6</v>
      </c>
      <c r="E6" s="65" t="s">
        <v>6</v>
      </c>
      <c r="F6" s="65" t="s">
        <v>6</v>
      </c>
      <c r="G6" s="163"/>
      <c r="H6" s="76" t="s">
        <v>39</v>
      </c>
      <c r="I6" s="130" t="s">
        <v>34</v>
      </c>
      <c r="J6" s="130" t="s">
        <v>142</v>
      </c>
      <c r="K6" s="78">
        <f t="shared" ref="K6:K58" si="4">L6+S6</f>
        <v>0</v>
      </c>
      <c r="L6" s="78">
        <f t="shared" si="0"/>
        <v>0</v>
      </c>
      <c r="M6" s="79"/>
      <c r="N6" s="36"/>
      <c r="O6" s="36"/>
      <c r="P6" s="36"/>
      <c r="Q6" s="36"/>
      <c r="R6" s="36"/>
      <c r="S6" s="5">
        <f t="shared" si="2"/>
        <v>0</v>
      </c>
      <c r="T6" s="24"/>
      <c r="U6" s="25"/>
      <c r="V6" s="25"/>
      <c r="W6" s="25"/>
      <c r="X6" s="25"/>
      <c r="Y6" s="31"/>
    </row>
    <row r="7" spans="1:26" ht="13.5" customHeight="1" x14ac:dyDescent="0.15">
      <c r="A7" s="65"/>
      <c r="B7" s="65" t="s">
        <v>6</v>
      </c>
      <c r="C7" s="65" t="s">
        <v>6</v>
      </c>
      <c r="D7" s="94" t="s">
        <v>6</v>
      </c>
      <c r="E7" s="65" t="s">
        <v>6</v>
      </c>
      <c r="F7" s="65" t="s">
        <v>6</v>
      </c>
      <c r="G7" s="163"/>
      <c r="H7" s="76" t="s">
        <v>39</v>
      </c>
      <c r="I7" s="130" t="s">
        <v>35</v>
      </c>
      <c r="J7" s="130" t="s">
        <v>143</v>
      </c>
      <c r="K7" s="78">
        <f t="shared" si="4"/>
        <v>0</v>
      </c>
      <c r="L7" s="78">
        <f t="shared" si="0"/>
        <v>0</v>
      </c>
      <c r="M7" s="79"/>
      <c r="N7" s="36"/>
      <c r="O7" s="36"/>
      <c r="P7" s="36"/>
      <c r="Q7" s="36"/>
      <c r="R7" s="36"/>
      <c r="S7" s="5">
        <f t="shared" si="2"/>
        <v>0</v>
      </c>
      <c r="T7" s="24"/>
      <c r="U7" s="25"/>
      <c r="V7" s="25"/>
      <c r="W7" s="25"/>
      <c r="X7" s="25"/>
      <c r="Y7" s="31"/>
    </row>
    <row r="8" spans="1:26" ht="13.5" customHeight="1" x14ac:dyDescent="0.15">
      <c r="A8" s="65"/>
      <c r="B8" s="65" t="s">
        <v>6</v>
      </c>
      <c r="C8" s="65" t="s">
        <v>6</v>
      </c>
      <c r="D8" s="94" t="s">
        <v>6</v>
      </c>
      <c r="E8" s="65" t="s">
        <v>6</v>
      </c>
      <c r="F8" s="65" t="s">
        <v>6</v>
      </c>
      <c r="G8" s="163"/>
      <c r="H8" s="76" t="s">
        <v>38</v>
      </c>
      <c r="I8" s="130" t="s">
        <v>33</v>
      </c>
      <c r="J8" s="130" t="s">
        <v>91</v>
      </c>
      <c r="K8" s="78">
        <f t="shared" si="4"/>
        <v>0</v>
      </c>
      <c r="L8" s="78">
        <f t="shared" si="0"/>
        <v>0</v>
      </c>
      <c r="M8" s="79"/>
      <c r="N8" s="36"/>
      <c r="O8" s="36"/>
      <c r="P8" s="36"/>
      <c r="Q8" s="36"/>
      <c r="R8" s="36"/>
      <c r="S8" s="5">
        <f t="shared" si="2"/>
        <v>0</v>
      </c>
      <c r="T8" s="24"/>
      <c r="U8" s="25"/>
      <c r="V8" s="25"/>
      <c r="W8" s="25"/>
      <c r="X8" s="25"/>
      <c r="Y8" s="31"/>
    </row>
    <row r="9" spans="1:26" ht="13.5" customHeight="1" x14ac:dyDescent="0.15">
      <c r="A9" s="65"/>
      <c r="B9" s="65" t="s">
        <v>6</v>
      </c>
      <c r="C9" s="65" t="s">
        <v>6</v>
      </c>
      <c r="D9" s="94" t="s">
        <v>6</v>
      </c>
      <c r="E9" s="65" t="s">
        <v>6</v>
      </c>
      <c r="F9" s="65" t="s">
        <v>6</v>
      </c>
      <c r="G9" s="163"/>
      <c r="H9" s="76" t="s">
        <v>32</v>
      </c>
      <c r="I9" s="130" t="s">
        <v>33</v>
      </c>
      <c r="J9" s="130" t="s">
        <v>144</v>
      </c>
      <c r="K9" s="78">
        <f t="shared" si="4"/>
        <v>0</v>
      </c>
      <c r="L9" s="78">
        <f t="shared" si="0"/>
        <v>0</v>
      </c>
      <c r="M9" s="79"/>
      <c r="N9" s="36"/>
      <c r="O9" s="36"/>
      <c r="P9" s="36"/>
      <c r="Q9" s="36"/>
      <c r="R9" s="36"/>
      <c r="S9" s="5">
        <f t="shared" si="2"/>
        <v>0</v>
      </c>
      <c r="T9" s="24"/>
      <c r="U9" s="25"/>
      <c r="V9" s="25"/>
      <c r="W9" s="25"/>
      <c r="X9" s="25"/>
      <c r="Y9" s="31"/>
    </row>
    <row r="10" spans="1:26" ht="13.5" customHeight="1" x14ac:dyDescent="0.15">
      <c r="A10" s="65"/>
      <c r="B10" s="65" t="s">
        <v>6</v>
      </c>
      <c r="C10" s="65" t="s">
        <v>6</v>
      </c>
      <c r="D10" s="94" t="s">
        <v>6</v>
      </c>
      <c r="E10" s="65" t="s">
        <v>6</v>
      </c>
      <c r="F10" s="65" t="s">
        <v>6</v>
      </c>
      <c r="G10" s="163"/>
      <c r="H10" s="76" t="s">
        <v>36</v>
      </c>
      <c r="I10" s="130" t="s">
        <v>33</v>
      </c>
      <c r="J10" s="130" t="s">
        <v>88</v>
      </c>
      <c r="K10" s="78">
        <f t="shared" si="4"/>
        <v>0</v>
      </c>
      <c r="L10" s="78">
        <f t="shared" si="0"/>
        <v>0</v>
      </c>
      <c r="M10" s="79"/>
      <c r="N10" s="36"/>
      <c r="O10" s="36"/>
      <c r="P10" s="36"/>
      <c r="Q10" s="36"/>
      <c r="R10" s="36"/>
      <c r="S10" s="5">
        <f t="shared" si="2"/>
        <v>0</v>
      </c>
      <c r="T10" s="24"/>
      <c r="U10" s="25"/>
      <c r="V10" s="25"/>
      <c r="W10" s="25"/>
      <c r="X10" s="25"/>
      <c r="Y10" s="31"/>
    </row>
    <row r="11" spans="1:26" ht="13.5" customHeight="1" x14ac:dyDescent="0.15">
      <c r="A11" s="65"/>
      <c r="B11" s="65" t="s">
        <v>6</v>
      </c>
      <c r="C11" s="65" t="s">
        <v>6</v>
      </c>
      <c r="D11" s="94" t="s">
        <v>6</v>
      </c>
      <c r="E11" s="65" t="s">
        <v>6</v>
      </c>
      <c r="F11" s="65" t="s">
        <v>6</v>
      </c>
      <c r="G11" s="163"/>
      <c r="H11" s="76" t="s">
        <v>37</v>
      </c>
      <c r="I11" s="130" t="s">
        <v>33</v>
      </c>
      <c r="J11" s="130" t="s">
        <v>90</v>
      </c>
      <c r="K11" s="78">
        <f>L11+S11</f>
        <v>0</v>
      </c>
      <c r="L11" s="78">
        <f t="shared" si="0"/>
        <v>0</v>
      </c>
      <c r="M11" s="79"/>
      <c r="N11" s="36"/>
      <c r="O11" s="36"/>
      <c r="P11" s="36"/>
      <c r="Q11" s="36"/>
      <c r="R11" s="36"/>
      <c r="S11" s="5">
        <f t="shared" si="2"/>
        <v>0</v>
      </c>
      <c r="T11" s="24"/>
      <c r="U11" s="25"/>
      <c r="V11" s="25"/>
      <c r="W11" s="25"/>
      <c r="X11" s="25"/>
      <c r="Y11" s="31"/>
    </row>
    <row r="12" spans="1:26" ht="13.5" customHeight="1" x14ac:dyDescent="0.15">
      <c r="A12" s="65"/>
      <c r="B12" s="65" t="s">
        <v>6</v>
      </c>
      <c r="C12" s="65" t="s">
        <v>6</v>
      </c>
      <c r="D12" s="94" t="s">
        <v>6</v>
      </c>
      <c r="E12" s="65" t="s">
        <v>6</v>
      </c>
      <c r="F12" s="65" t="s">
        <v>6</v>
      </c>
      <c r="G12" s="163"/>
      <c r="H12" s="76" t="s">
        <v>40</v>
      </c>
      <c r="I12" s="130" t="s">
        <v>33</v>
      </c>
      <c r="J12" s="130" t="s">
        <v>123</v>
      </c>
      <c r="K12" s="78">
        <f t="shared" si="4"/>
        <v>0</v>
      </c>
      <c r="L12" s="78">
        <f t="shared" si="0"/>
        <v>0</v>
      </c>
      <c r="M12" s="79"/>
      <c r="N12" s="36"/>
      <c r="O12" s="36"/>
      <c r="P12" s="36"/>
      <c r="Q12" s="36"/>
      <c r="R12" s="36"/>
      <c r="S12" s="5">
        <f t="shared" si="2"/>
        <v>0</v>
      </c>
      <c r="T12" s="24"/>
      <c r="U12" s="25"/>
      <c r="V12" s="25"/>
      <c r="W12" s="25"/>
      <c r="X12" s="25"/>
      <c r="Y12" s="31"/>
    </row>
    <row r="13" spans="1:26" ht="13.5" customHeight="1" x14ac:dyDescent="0.15">
      <c r="A13" s="65"/>
      <c r="B13" s="65" t="s">
        <v>6</v>
      </c>
      <c r="C13" s="65" t="s">
        <v>6</v>
      </c>
      <c r="D13" s="94" t="s">
        <v>6</v>
      </c>
      <c r="E13" s="65" t="s">
        <v>6</v>
      </c>
      <c r="F13" s="65" t="s">
        <v>6</v>
      </c>
      <c r="G13" s="163"/>
      <c r="H13" s="76" t="s">
        <v>17</v>
      </c>
      <c r="I13" s="130" t="s">
        <v>33</v>
      </c>
      <c r="J13" s="130" t="s">
        <v>13</v>
      </c>
      <c r="K13" s="78">
        <f>L13+S13</f>
        <v>0</v>
      </c>
      <c r="L13" s="78">
        <f>SUM(M13:R13)</f>
        <v>0</v>
      </c>
      <c r="M13" s="79"/>
      <c r="N13" s="36"/>
      <c r="O13" s="36"/>
      <c r="P13" s="36"/>
      <c r="Q13" s="36"/>
      <c r="R13" s="36"/>
      <c r="S13" s="5">
        <f>SUM(T13:Y13)</f>
        <v>0</v>
      </c>
      <c r="T13" s="24"/>
      <c r="U13" s="25"/>
      <c r="V13" s="25"/>
      <c r="W13" s="25"/>
      <c r="X13" s="25"/>
      <c r="Y13" s="31"/>
    </row>
    <row r="14" spans="1:26" ht="13.5" customHeight="1" x14ac:dyDescent="0.15">
      <c r="A14" s="65"/>
      <c r="B14" s="65"/>
      <c r="C14" s="65"/>
      <c r="D14" s="94"/>
      <c r="E14" s="65"/>
      <c r="F14" s="65"/>
      <c r="G14" s="163"/>
      <c r="H14" s="141" t="s">
        <v>18</v>
      </c>
      <c r="I14" s="142"/>
      <c r="J14" s="143"/>
      <c r="K14" s="78">
        <f>L14+S14</f>
        <v>0</v>
      </c>
      <c r="L14" s="78">
        <f>SUM(M14:R14)</f>
        <v>0</v>
      </c>
      <c r="M14" s="101">
        <f t="shared" ref="M14:Y14" si="5">M12+M13</f>
        <v>0</v>
      </c>
      <c r="N14" s="102">
        <f t="shared" si="5"/>
        <v>0</v>
      </c>
      <c r="O14" s="102">
        <f t="shared" si="5"/>
        <v>0</v>
      </c>
      <c r="P14" s="102">
        <f t="shared" si="5"/>
        <v>0</v>
      </c>
      <c r="Q14" s="102">
        <f t="shared" si="5"/>
        <v>0</v>
      </c>
      <c r="R14" s="102">
        <f t="shared" si="5"/>
        <v>0</v>
      </c>
      <c r="S14" s="78">
        <f>SUM(T14:Y14)</f>
        <v>0</v>
      </c>
      <c r="T14" s="101">
        <f>T12+T13</f>
        <v>0</v>
      </c>
      <c r="U14" s="102">
        <f t="shared" si="5"/>
        <v>0</v>
      </c>
      <c r="V14" s="102">
        <f t="shared" si="5"/>
        <v>0</v>
      </c>
      <c r="W14" s="102">
        <f t="shared" si="5"/>
        <v>0</v>
      </c>
      <c r="X14" s="102">
        <f t="shared" si="5"/>
        <v>0</v>
      </c>
      <c r="Y14" s="103">
        <f t="shared" si="5"/>
        <v>0</v>
      </c>
    </row>
    <row r="15" spans="1:26" ht="13.5" customHeight="1" x14ac:dyDescent="0.15">
      <c r="A15" s="65" t="s">
        <v>6</v>
      </c>
      <c r="B15" s="65" t="s">
        <v>6</v>
      </c>
      <c r="C15" s="65" t="s">
        <v>6</v>
      </c>
      <c r="D15" s="94" t="s">
        <v>6</v>
      </c>
      <c r="E15" s="65" t="s">
        <v>6</v>
      </c>
      <c r="F15" s="65" t="s">
        <v>6</v>
      </c>
      <c r="G15" s="163"/>
      <c r="H15" s="76" t="s">
        <v>41</v>
      </c>
      <c r="I15" s="130" t="s">
        <v>33</v>
      </c>
      <c r="J15" s="130" t="s">
        <v>93</v>
      </c>
      <c r="K15" s="78">
        <f t="shared" si="4"/>
        <v>0</v>
      </c>
      <c r="L15" s="78">
        <f t="shared" si="0"/>
        <v>0</v>
      </c>
      <c r="M15" s="79"/>
      <c r="N15" s="36"/>
      <c r="O15" s="36"/>
      <c r="P15" s="36"/>
      <c r="Q15" s="36"/>
      <c r="R15" s="36"/>
      <c r="S15" s="5">
        <f t="shared" si="2"/>
        <v>0</v>
      </c>
      <c r="T15" s="24"/>
      <c r="U15" s="25"/>
      <c r="V15" s="25"/>
      <c r="W15" s="25"/>
      <c r="X15" s="25"/>
      <c r="Y15" s="31"/>
    </row>
    <row r="16" spans="1:26" ht="13.5" customHeight="1" x14ac:dyDescent="0.15">
      <c r="A16" s="65" t="s">
        <v>6</v>
      </c>
      <c r="B16" s="65" t="s">
        <v>6</v>
      </c>
      <c r="C16" s="65" t="s">
        <v>6</v>
      </c>
      <c r="D16" s="94" t="s">
        <v>6</v>
      </c>
      <c r="E16" s="65" t="s">
        <v>6</v>
      </c>
      <c r="F16" s="65" t="s">
        <v>6</v>
      </c>
      <c r="G16" s="163"/>
      <c r="H16" s="76" t="s">
        <v>11</v>
      </c>
      <c r="I16" s="130" t="s">
        <v>33</v>
      </c>
      <c r="J16" s="130" t="s">
        <v>15</v>
      </c>
      <c r="K16" s="78">
        <f>L16+S16</f>
        <v>0</v>
      </c>
      <c r="L16" s="78">
        <f>SUM(M16:R16)</f>
        <v>0</v>
      </c>
      <c r="M16" s="79"/>
      <c r="N16" s="36"/>
      <c r="O16" s="36"/>
      <c r="P16" s="36"/>
      <c r="Q16" s="36"/>
      <c r="R16" s="36"/>
      <c r="S16" s="5">
        <f>SUM(T16:Y16)</f>
        <v>0</v>
      </c>
      <c r="T16" s="24"/>
      <c r="U16" s="25"/>
      <c r="V16" s="25"/>
      <c r="W16" s="25"/>
      <c r="X16" s="25"/>
      <c r="Y16" s="31"/>
    </row>
    <row r="17" spans="1:25" ht="13.5" customHeight="1" x14ac:dyDescent="0.15">
      <c r="A17" s="65"/>
      <c r="B17" s="65"/>
      <c r="C17" s="65"/>
      <c r="D17" s="94"/>
      <c r="E17" s="65"/>
      <c r="F17" s="65"/>
      <c r="G17" s="163"/>
      <c r="H17" s="141" t="s">
        <v>12</v>
      </c>
      <c r="I17" s="142"/>
      <c r="J17" s="143"/>
      <c r="K17" s="78">
        <f>L17+S17</f>
        <v>0</v>
      </c>
      <c r="L17" s="78">
        <f>SUM(M17:R17)</f>
        <v>0</v>
      </c>
      <c r="M17" s="101">
        <f t="shared" ref="M17:Y17" si="6">M15+M16</f>
        <v>0</v>
      </c>
      <c r="N17" s="102">
        <f t="shared" si="6"/>
        <v>0</v>
      </c>
      <c r="O17" s="102">
        <f t="shared" si="6"/>
        <v>0</v>
      </c>
      <c r="P17" s="102">
        <f t="shared" si="6"/>
        <v>0</v>
      </c>
      <c r="Q17" s="102">
        <f t="shared" si="6"/>
        <v>0</v>
      </c>
      <c r="R17" s="102">
        <f t="shared" si="6"/>
        <v>0</v>
      </c>
      <c r="S17" s="78">
        <f>SUM(T17:Y17)</f>
        <v>0</v>
      </c>
      <c r="T17" s="101">
        <f t="shared" si="6"/>
        <v>0</v>
      </c>
      <c r="U17" s="102">
        <f t="shared" si="6"/>
        <v>0</v>
      </c>
      <c r="V17" s="102">
        <f t="shared" si="6"/>
        <v>0</v>
      </c>
      <c r="W17" s="102">
        <f t="shared" si="6"/>
        <v>0</v>
      </c>
      <c r="X17" s="102">
        <f t="shared" si="6"/>
        <v>0</v>
      </c>
      <c r="Y17" s="103">
        <f t="shared" si="6"/>
        <v>0</v>
      </c>
    </row>
    <row r="18" spans="1:25" ht="13.5" customHeight="1" x14ac:dyDescent="0.15">
      <c r="A18" s="65"/>
      <c r="B18" s="65" t="s">
        <v>6</v>
      </c>
      <c r="C18" s="65" t="s">
        <v>6</v>
      </c>
      <c r="D18" s="94" t="s">
        <v>6</v>
      </c>
      <c r="E18" s="65" t="s">
        <v>6</v>
      </c>
      <c r="F18" s="65" t="s">
        <v>6</v>
      </c>
      <c r="G18" s="163"/>
      <c r="H18" s="76" t="s">
        <v>42</v>
      </c>
      <c r="I18" s="130" t="s">
        <v>33</v>
      </c>
      <c r="J18" s="130" t="s">
        <v>94</v>
      </c>
      <c r="K18" s="78">
        <f t="shared" si="4"/>
        <v>0</v>
      </c>
      <c r="L18" s="78">
        <f t="shared" si="0"/>
        <v>0</v>
      </c>
      <c r="M18" s="79"/>
      <c r="N18" s="36"/>
      <c r="O18" s="36"/>
      <c r="P18" s="36"/>
      <c r="Q18" s="36"/>
      <c r="R18" s="36"/>
      <c r="S18" s="5">
        <f t="shared" si="2"/>
        <v>0</v>
      </c>
      <c r="T18" s="24"/>
      <c r="U18" s="25"/>
      <c r="V18" s="25"/>
      <c r="W18" s="25"/>
      <c r="X18" s="25"/>
      <c r="Y18" s="31"/>
    </row>
    <row r="19" spans="1:25" ht="13.5" customHeight="1" x14ac:dyDescent="0.15">
      <c r="A19" s="65"/>
      <c r="B19" s="65" t="s">
        <v>6</v>
      </c>
      <c r="C19" s="65" t="s">
        <v>6</v>
      </c>
      <c r="D19" s="94" t="s">
        <v>6</v>
      </c>
      <c r="E19" s="65" t="s">
        <v>6</v>
      </c>
      <c r="F19" s="65" t="s">
        <v>6</v>
      </c>
      <c r="G19" s="163"/>
      <c r="H19" s="76" t="s">
        <v>43</v>
      </c>
      <c r="I19" s="130" t="s">
        <v>33</v>
      </c>
      <c r="J19" s="130" t="s">
        <v>95</v>
      </c>
      <c r="K19" s="78">
        <f>L19+S19</f>
        <v>0</v>
      </c>
      <c r="L19" s="78">
        <f>SUM(M19:R19)</f>
        <v>0</v>
      </c>
      <c r="M19" s="79"/>
      <c r="N19" s="36"/>
      <c r="O19" s="36"/>
      <c r="P19" s="36"/>
      <c r="Q19" s="36"/>
      <c r="R19" s="36"/>
      <c r="S19" s="5">
        <f>SUM(T19:Y19)</f>
        <v>0</v>
      </c>
      <c r="T19" s="24"/>
      <c r="U19" s="25"/>
      <c r="V19" s="25"/>
      <c r="W19" s="25"/>
      <c r="X19" s="25"/>
      <c r="Y19" s="31"/>
    </row>
    <row r="20" spans="1:25" ht="13.5" customHeight="1" x14ac:dyDescent="0.15">
      <c r="A20" s="65"/>
      <c r="B20" s="65" t="s">
        <v>6</v>
      </c>
      <c r="C20" s="65" t="s">
        <v>6</v>
      </c>
      <c r="D20" s="94" t="s">
        <v>6</v>
      </c>
      <c r="E20" s="65" t="s">
        <v>6</v>
      </c>
      <c r="F20" s="65" t="s">
        <v>6</v>
      </c>
      <c r="G20" s="163"/>
      <c r="H20" s="76" t="s">
        <v>10</v>
      </c>
      <c r="I20" s="130" t="s">
        <v>33</v>
      </c>
      <c r="J20" s="130" t="s">
        <v>16</v>
      </c>
      <c r="K20" s="78">
        <f>L20+S20</f>
        <v>0</v>
      </c>
      <c r="L20" s="78">
        <f t="shared" si="0"/>
        <v>0</v>
      </c>
      <c r="M20" s="79"/>
      <c r="N20" s="36"/>
      <c r="O20" s="36"/>
      <c r="P20" s="36"/>
      <c r="Q20" s="36"/>
      <c r="R20" s="36"/>
      <c r="S20" s="5">
        <f t="shared" si="2"/>
        <v>0</v>
      </c>
      <c r="T20" s="24"/>
      <c r="U20" s="25"/>
      <c r="V20" s="25"/>
      <c r="W20" s="25"/>
      <c r="X20" s="25"/>
      <c r="Y20" s="31"/>
    </row>
    <row r="21" spans="1:25" ht="13.5" customHeight="1" x14ac:dyDescent="0.15">
      <c r="A21" s="65"/>
      <c r="B21" s="65"/>
      <c r="C21" s="65"/>
      <c r="D21" s="94"/>
      <c r="E21" s="65"/>
      <c r="F21" s="65"/>
      <c r="G21" s="163"/>
      <c r="H21" s="141" t="s">
        <v>14</v>
      </c>
      <c r="I21" s="142"/>
      <c r="J21" s="143"/>
      <c r="K21" s="78">
        <f>L21+S21</f>
        <v>0</v>
      </c>
      <c r="L21" s="78">
        <f>SUM(M21:R21)</f>
        <v>0</v>
      </c>
      <c r="M21" s="101">
        <f t="shared" ref="M21:Y21" si="7">M19+M20</f>
        <v>0</v>
      </c>
      <c r="N21" s="102">
        <f t="shared" si="7"/>
        <v>0</v>
      </c>
      <c r="O21" s="102">
        <f t="shared" si="7"/>
        <v>0</v>
      </c>
      <c r="P21" s="102">
        <f t="shared" si="7"/>
        <v>0</v>
      </c>
      <c r="Q21" s="102">
        <f t="shared" si="7"/>
        <v>0</v>
      </c>
      <c r="R21" s="102">
        <f t="shared" si="7"/>
        <v>0</v>
      </c>
      <c r="S21" s="78">
        <f>SUM(T21:Y21)</f>
        <v>0</v>
      </c>
      <c r="T21" s="101">
        <f t="shared" si="7"/>
        <v>0</v>
      </c>
      <c r="U21" s="102">
        <f t="shared" si="7"/>
        <v>0</v>
      </c>
      <c r="V21" s="102">
        <f t="shared" si="7"/>
        <v>0</v>
      </c>
      <c r="W21" s="102">
        <f t="shared" si="7"/>
        <v>0</v>
      </c>
      <c r="X21" s="102">
        <f t="shared" si="7"/>
        <v>0</v>
      </c>
      <c r="Y21" s="103">
        <f t="shared" si="7"/>
        <v>0</v>
      </c>
    </row>
    <row r="22" spans="1:25" ht="13.5" customHeight="1" x14ac:dyDescent="0.15">
      <c r="A22" s="65"/>
      <c r="B22" s="65" t="s">
        <v>6</v>
      </c>
      <c r="C22" s="65" t="s">
        <v>6</v>
      </c>
      <c r="D22" s="94" t="s">
        <v>6</v>
      </c>
      <c r="E22" s="65" t="s">
        <v>6</v>
      </c>
      <c r="F22" s="65" t="s">
        <v>6</v>
      </c>
      <c r="G22" s="163"/>
      <c r="H22" s="76" t="s">
        <v>44</v>
      </c>
      <c r="I22" s="130" t="s">
        <v>33</v>
      </c>
      <c r="J22" s="130" t="s">
        <v>96</v>
      </c>
      <c r="K22" s="78">
        <f t="shared" si="4"/>
        <v>0</v>
      </c>
      <c r="L22" s="78">
        <f t="shared" si="0"/>
        <v>0</v>
      </c>
      <c r="M22" s="79"/>
      <c r="N22" s="36"/>
      <c r="O22" s="36"/>
      <c r="P22" s="36"/>
      <c r="Q22" s="36"/>
      <c r="R22" s="36"/>
      <c r="S22" s="5">
        <f t="shared" si="2"/>
        <v>0</v>
      </c>
      <c r="T22" s="24"/>
      <c r="U22" s="25"/>
      <c r="V22" s="25"/>
      <c r="W22" s="25"/>
      <c r="X22" s="25"/>
      <c r="Y22" s="31"/>
    </row>
    <row r="23" spans="1:25" ht="13.5" customHeight="1" x14ac:dyDescent="0.15">
      <c r="A23" s="65"/>
      <c r="B23" s="65" t="s">
        <v>6</v>
      </c>
      <c r="C23" s="65" t="s">
        <v>6</v>
      </c>
      <c r="D23" s="94" t="s">
        <v>6</v>
      </c>
      <c r="E23" s="65" t="s">
        <v>6</v>
      </c>
      <c r="F23" s="65" t="s">
        <v>6</v>
      </c>
      <c r="G23" s="163"/>
      <c r="H23" s="76" t="s">
        <v>45</v>
      </c>
      <c r="I23" s="130" t="s">
        <v>33</v>
      </c>
      <c r="J23" s="130" t="s">
        <v>145</v>
      </c>
      <c r="K23" s="78">
        <f t="shared" ref="K23" si="8">L23+S23</f>
        <v>0</v>
      </c>
      <c r="L23" s="78">
        <f t="shared" ref="L23" si="9">SUM(M23:R23)</f>
        <v>0</v>
      </c>
      <c r="M23" s="79"/>
      <c r="N23" s="36"/>
      <c r="O23" s="36"/>
      <c r="P23" s="36"/>
      <c r="Q23" s="36"/>
      <c r="R23" s="36"/>
      <c r="S23" s="5">
        <f t="shared" ref="S23" si="10">SUM(T23:Y23)</f>
        <v>0</v>
      </c>
      <c r="T23" s="24"/>
      <c r="U23" s="25"/>
      <c r="V23" s="25"/>
      <c r="W23" s="25"/>
      <c r="X23" s="25"/>
      <c r="Y23" s="31"/>
    </row>
    <row r="24" spans="1:25" ht="13.5" customHeight="1" x14ac:dyDescent="0.15">
      <c r="A24" s="65"/>
      <c r="B24" s="65" t="s">
        <v>6</v>
      </c>
      <c r="C24" s="65" t="s">
        <v>6</v>
      </c>
      <c r="D24" s="94" t="s">
        <v>6</v>
      </c>
      <c r="E24" s="65" t="s">
        <v>6</v>
      </c>
      <c r="F24" s="65" t="s">
        <v>6</v>
      </c>
      <c r="G24" s="163"/>
      <c r="H24" s="76" t="s">
        <v>19</v>
      </c>
      <c r="I24" s="130" t="s">
        <v>33</v>
      </c>
      <c r="J24" s="130" t="s">
        <v>146</v>
      </c>
      <c r="K24" s="78">
        <f t="shared" si="4"/>
        <v>0</v>
      </c>
      <c r="L24" s="78">
        <f t="shared" si="0"/>
        <v>0</v>
      </c>
      <c r="M24" s="79"/>
      <c r="N24" s="36"/>
      <c r="O24" s="36"/>
      <c r="P24" s="36"/>
      <c r="Q24" s="36"/>
      <c r="R24" s="36"/>
      <c r="S24" s="5">
        <f t="shared" si="2"/>
        <v>0</v>
      </c>
      <c r="T24" s="24"/>
      <c r="U24" s="25"/>
      <c r="V24" s="25"/>
      <c r="W24" s="25"/>
      <c r="X24" s="25"/>
      <c r="Y24" s="31"/>
    </row>
    <row r="25" spans="1:25" ht="13.5" customHeight="1" x14ac:dyDescent="0.15">
      <c r="A25" s="65" t="s">
        <v>6</v>
      </c>
      <c r="B25" s="65" t="s">
        <v>6</v>
      </c>
      <c r="C25" s="65" t="s">
        <v>6</v>
      </c>
      <c r="D25" s="94" t="s">
        <v>6</v>
      </c>
      <c r="E25" s="65" t="s">
        <v>6</v>
      </c>
      <c r="F25" s="65" t="s">
        <v>6</v>
      </c>
      <c r="G25" s="163"/>
      <c r="H25" s="76" t="s">
        <v>20</v>
      </c>
      <c r="I25" s="130" t="s">
        <v>33</v>
      </c>
      <c r="J25" s="130" t="s">
        <v>21</v>
      </c>
      <c r="K25" s="78">
        <f t="shared" si="4"/>
        <v>0</v>
      </c>
      <c r="L25" s="78">
        <f t="shared" si="0"/>
        <v>0</v>
      </c>
      <c r="M25" s="79"/>
      <c r="N25" s="36"/>
      <c r="O25" s="36"/>
      <c r="P25" s="36"/>
      <c r="Q25" s="36"/>
      <c r="R25" s="36"/>
      <c r="S25" s="5">
        <f t="shared" si="2"/>
        <v>0</v>
      </c>
      <c r="T25" s="27"/>
      <c r="U25" s="28"/>
      <c r="V25" s="28"/>
      <c r="W25" s="28"/>
      <c r="X25" s="28"/>
      <c r="Y25" s="35"/>
    </row>
    <row r="26" spans="1:25" ht="13.5" customHeight="1" x14ac:dyDescent="0.15">
      <c r="A26" s="65"/>
      <c r="B26" s="65"/>
      <c r="C26" s="65"/>
      <c r="D26" s="94"/>
      <c r="E26" s="65"/>
      <c r="F26" s="65"/>
      <c r="G26" s="164"/>
      <c r="H26" s="150" t="s">
        <v>8</v>
      </c>
      <c r="I26" s="151"/>
      <c r="J26" s="152"/>
      <c r="K26" s="7">
        <f>L26+S26</f>
        <v>0</v>
      </c>
      <c r="L26" s="7">
        <f>SUM(M26:R26)</f>
        <v>0</v>
      </c>
      <c r="M26" s="13">
        <f t="shared" ref="M26:R26" si="11">SUM(M6:M11)+M14+M17+M18+M21+SUM(M22:M25)</f>
        <v>0</v>
      </c>
      <c r="N26" s="8">
        <f t="shared" si="11"/>
        <v>0</v>
      </c>
      <c r="O26" s="8">
        <f t="shared" si="11"/>
        <v>0</v>
      </c>
      <c r="P26" s="8">
        <f t="shared" si="11"/>
        <v>0</v>
      </c>
      <c r="Q26" s="8">
        <f t="shared" si="11"/>
        <v>0</v>
      </c>
      <c r="R26" s="16">
        <f t="shared" si="11"/>
        <v>0</v>
      </c>
      <c r="S26" s="7">
        <f>SUM(T26:Y26)</f>
        <v>0</v>
      </c>
      <c r="T26" s="13">
        <f t="shared" ref="T26:Y26" si="12">SUM(T6:T11)+T14+T17+T18+T21+SUM(T22:T25)</f>
        <v>0</v>
      </c>
      <c r="U26" s="8">
        <f t="shared" si="12"/>
        <v>0</v>
      </c>
      <c r="V26" s="8">
        <f t="shared" si="12"/>
        <v>0</v>
      </c>
      <c r="W26" s="8">
        <f t="shared" si="12"/>
        <v>0</v>
      </c>
      <c r="X26" s="8">
        <f t="shared" si="12"/>
        <v>0</v>
      </c>
      <c r="Y26" s="16">
        <f t="shared" si="12"/>
        <v>0</v>
      </c>
    </row>
    <row r="27" spans="1:25" ht="13.5" customHeight="1" x14ac:dyDescent="0.15">
      <c r="A27" s="65"/>
      <c r="B27" s="65"/>
      <c r="C27" s="65" t="s">
        <v>6</v>
      </c>
      <c r="D27" s="94" t="s">
        <v>6</v>
      </c>
      <c r="E27" s="65" t="s">
        <v>6</v>
      </c>
      <c r="F27" s="65" t="s">
        <v>6</v>
      </c>
      <c r="G27" s="162" t="s">
        <v>147</v>
      </c>
      <c r="H27" s="74" t="s">
        <v>46</v>
      </c>
      <c r="I27" s="140" t="s">
        <v>33</v>
      </c>
      <c r="J27" s="131" t="s">
        <v>97</v>
      </c>
      <c r="K27" s="17">
        <f t="shared" si="4"/>
        <v>0</v>
      </c>
      <c r="L27" s="11">
        <f>SUM(M27:R27)</f>
        <v>0</v>
      </c>
      <c r="M27" s="38"/>
      <c r="N27" s="33"/>
      <c r="O27" s="33"/>
      <c r="P27" s="33"/>
      <c r="Q27" s="33"/>
      <c r="R27" s="40"/>
      <c r="S27" s="11">
        <f t="shared" si="2"/>
        <v>0</v>
      </c>
      <c r="T27" s="38"/>
      <c r="U27" s="33"/>
      <c r="V27" s="33"/>
      <c r="W27" s="33"/>
      <c r="X27" s="33"/>
      <c r="Y27" s="49"/>
    </row>
    <row r="28" spans="1:25" ht="13.5" customHeight="1" x14ac:dyDescent="0.15">
      <c r="A28" s="65"/>
      <c r="B28" s="65"/>
      <c r="C28" s="65" t="s">
        <v>6</v>
      </c>
      <c r="D28" s="94" t="s">
        <v>6</v>
      </c>
      <c r="E28" s="65" t="s">
        <v>6</v>
      </c>
      <c r="F28" s="65" t="s">
        <v>6</v>
      </c>
      <c r="G28" s="163"/>
      <c r="H28" s="73" t="s">
        <v>47</v>
      </c>
      <c r="I28" s="138" t="s">
        <v>33</v>
      </c>
      <c r="J28" s="53" t="s">
        <v>98</v>
      </c>
      <c r="K28" s="48">
        <f t="shared" si="4"/>
        <v>0</v>
      </c>
      <c r="L28" s="4">
        <f t="shared" ref="L28:L44" si="13">SUM(M28:R28)</f>
        <v>0</v>
      </c>
      <c r="M28" s="56"/>
      <c r="N28" s="25"/>
      <c r="O28" s="25"/>
      <c r="P28" s="25"/>
      <c r="Q28" s="25"/>
      <c r="R28" s="31"/>
      <c r="S28" s="4">
        <f t="shared" si="2"/>
        <v>0</v>
      </c>
      <c r="T28" s="56"/>
      <c r="U28" s="25"/>
      <c r="V28" s="25"/>
      <c r="W28" s="25"/>
      <c r="X28" s="25"/>
      <c r="Y28" s="47"/>
    </row>
    <row r="29" spans="1:25" ht="13.5" customHeight="1" x14ac:dyDescent="0.15">
      <c r="A29" s="65"/>
      <c r="B29" s="65"/>
      <c r="C29" s="65" t="s">
        <v>6</v>
      </c>
      <c r="D29" s="94" t="s">
        <v>6</v>
      </c>
      <c r="E29" s="65" t="s">
        <v>6</v>
      </c>
      <c r="F29" s="65" t="s">
        <v>6</v>
      </c>
      <c r="G29" s="163"/>
      <c r="H29" s="73" t="s">
        <v>48</v>
      </c>
      <c r="I29" s="138" t="s">
        <v>33</v>
      </c>
      <c r="J29" s="53" t="s">
        <v>99</v>
      </c>
      <c r="K29" s="48">
        <f t="shared" si="4"/>
        <v>0</v>
      </c>
      <c r="L29" s="4">
        <f t="shared" si="13"/>
        <v>0</v>
      </c>
      <c r="M29" s="56"/>
      <c r="N29" s="25"/>
      <c r="O29" s="25"/>
      <c r="P29" s="25"/>
      <c r="Q29" s="25"/>
      <c r="R29" s="31"/>
      <c r="S29" s="4">
        <f t="shared" si="2"/>
        <v>0</v>
      </c>
      <c r="T29" s="56"/>
      <c r="U29" s="25"/>
      <c r="V29" s="25"/>
      <c r="W29" s="25"/>
      <c r="X29" s="25"/>
      <c r="Y29" s="47"/>
    </row>
    <row r="30" spans="1:25" ht="13.5" customHeight="1" x14ac:dyDescent="0.15">
      <c r="A30" s="65"/>
      <c r="B30" s="65"/>
      <c r="C30" s="65" t="s">
        <v>6</v>
      </c>
      <c r="D30" s="94" t="s">
        <v>6</v>
      </c>
      <c r="E30" s="65" t="s">
        <v>6</v>
      </c>
      <c r="F30" s="65" t="s">
        <v>6</v>
      </c>
      <c r="G30" s="163"/>
      <c r="H30" s="73" t="s">
        <v>49</v>
      </c>
      <c r="I30" s="138" t="s">
        <v>33</v>
      </c>
      <c r="J30" s="53" t="s">
        <v>100</v>
      </c>
      <c r="K30" s="48">
        <f t="shared" si="4"/>
        <v>0</v>
      </c>
      <c r="L30" s="4">
        <f t="shared" si="13"/>
        <v>0</v>
      </c>
      <c r="M30" s="56"/>
      <c r="N30" s="25"/>
      <c r="O30" s="25"/>
      <c r="P30" s="25"/>
      <c r="Q30" s="25"/>
      <c r="R30" s="31"/>
      <c r="S30" s="4">
        <f t="shared" si="2"/>
        <v>0</v>
      </c>
      <c r="T30" s="56"/>
      <c r="U30" s="25"/>
      <c r="V30" s="25"/>
      <c r="W30" s="25"/>
      <c r="X30" s="25"/>
      <c r="Y30" s="47"/>
    </row>
    <row r="31" spans="1:25" ht="13.5" customHeight="1" x14ac:dyDescent="0.15">
      <c r="A31" s="65"/>
      <c r="B31" s="65"/>
      <c r="C31" s="65" t="s">
        <v>6</v>
      </c>
      <c r="D31" s="94" t="s">
        <v>6</v>
      </c>
      <c r="E31" s="65" t="s">
        <v>6</v>
      </c>
      <c r="F31" s="65" t="s">
        <v>6</v>
      </c>
      <c r="G31" s="163"/>
      <c r="H31" s="73" t="s">
        <v>50</v>
      </c>
      <c r="I31" s="138" t="s">
        <v>33</v>
      </c>
      <c r="J31" s="53" t="s">
        <v>101</v>
      </c>
      <c r="K31" s="48">
        <f t="shared" si="4"/>
        <v>0</v>
      </c>
      <c r="L31" s="4">
        <f t="shared" si="13"/>
        <v>0</v>
      </c>
      <c r="M31" s="56"/>
      <c r="N31" s="25"/>
      <c r="O31" s="25"/>
      <c r="P31" s="25"/>
      <c r="Q31" s="25"/>
      <c r="R31" s="31"/>
      <c r="S31" s="4">
        <f t="shared" si="2"/>
        <v>0</v>
      </c>
      <c r="T31" s="56"/>
      <c r="U31" s="25"/>
      <c r="V31" s="25"/>
      <c r="W31" s="25"/>
      <c r="X31" s="25"/>
      <c r="Y31" s="47"/>
    </row>
    <row r="32" spans="1:25" ht="13.5" customHeight="1" x14ac:dyDescent="0.15">
      <c r="A32" s="65"/>
      <c r="B32" s="65"/>
      <c r="C32" s="65" t="s">
        <v>6</v>
      </c>
      <c r="D32" s="94" t="s">
        <v>6</v>
      </c>
      <c r="E32" s="65" t="s">
        <v>6</v>
      </c>
      <c r="F32" s="65" t="s">
        <v>6</v>
      </c>
      <c r="G32" s="163"/>
      <c r="H32" s="73" t="s">
        <v>51</v>
      </c>
      <c r="I32" s="138" t="s">
        <v>33</v>
      </c>
      <c r="J32" s="53" t="s">
        <v>102</v>
      </c>
      <c r="K32" s="48">
        <f t="shared" si="4"/>
        <v>0</v>
      </c>
      <c r="L32" s="4">
        <f t="shared" si="13"/>
        <v>0</v>
      </c>
      <c r="M32" s="56"/>
      <c r="N32" s="25"/>
      <c r="O32" s="25"/>
      <c r="P32" s="25"/>
      <c r="Q32" s="25"/>
      <c r="R32" s="31"/>
      <c r="S32" s="4">
        <f t="shared" si="2"/>
        <v>0</v>
      </c>
      <c r="T32" s="56"/>
      <c r="U32" s="25"/>
      <c r="V32" s="25"/>
      <c r="W32" s="25"/>
      <c r="X32" s="25"/>
      <c r="Y32" s="47"/>
    </row>
    <row r="33" spans="1:25" ht="13.5" customHeight="1" x14ac:dyDescent="0.15">
      <c r="A33" s="65"/>
      <c r="B33" s="65"/>
      <c r="C33" s="65" t="s">
        <v>6</v>
      </c>
      <c r="D33" s="94" t="s">
        <v>6</v>
      </c>
      <c r="E33" s="65" t="s">
        <v>6</v>
      </c>
      <c r="F33" s="65" t="s">
        <v>6</v>
      </c>
      <c r="G33" s="163"/>
      <c r="H33" s="73" t="s">
        <v>52</v>
      </c>
      <c r="I33" s="138" t="s">
        <v>33</v>
      </c>
      <c r="J33" s="53" t="s">
        <v>89</v>
      </c>
      <c r="K33" s="48">
        <f t="shared" si="4"/>
        <v>0</v>
      </c>
      <c r="L33" s="4">
        <f t="shared" si="13"/>
        <v>0</v>
      </c>
      <c r="M33" s="56"/>
      <c r="N33" s="25"/>
      <c r="O33" s="25"/>
      <c r="P33" s="25"/>
      <c r="Q33" s="25"/>
      <c r="R33" s="31"/>
      <c r="S33" s="4">
        <f t="shared" si="2"/>
        <v>0</v>
      </c>
      <c r="T33" s="56"/>
      <c r="U33" s="25"/>
      <c r="V33" s="25"/>
      <c r="W33" s="25"/>
      <c r="X33" s="25"/>
      <c r="Y33" s="47"/>
    </row>
    <row r="34" spans="1:25" ht="13.5" customHeight="1" x14ac:dyDescent="0.15">
      <c r="A34" s="65" t="s">
        <v>6</v>
      </c>
      <c r="B34" s="65"/>
      <c r="C34" s="65" t="s">
        <v>6</v>
      </c>
      <c r="D34" s="94" t="s">
        <v>6</v>
      </c>
      <c r="E34" s="65" t="s">
        <v>6</v>
      </c>
      <c r="F34" s="65" t="s">
        <v>6</v>
      </c>
      <c r="G34" s="163"/>
      <c r="H34" s="73" t="s">
        <v>53</v>
      </c>
      <c r="I34" s="138" t="s">
        <v>33</v>
      </c>
      <c r="J34" s="53" t="s">
        <v>103</v>
      </c>
      <c r="K34" s="48">
        <f t="shared" si="4"/>
        <v>0</v>
      </c>
      <c r="L34" s="4">
        <f t="shared" si="13"/>
        <v>0</v>
      </c>
      <c r="M34" s="56"/>
      <c r="N34" s="25"/>
      <c r="O34" s="25"/>
      <c r="P34" s="25"/>
      <c r="Q34" s="25"/>
      <c r="R34" s="31"/>
      <c r="S34" s="4">
        <f t="shared" si="2"/>
        <v>0</v>
      </c>
      <c r="T34" s="56"/>
      <c r="U34" s="25"/>
      <c r="V34" s="25"/>
      <c r="W34" s="25"/>
      <c r="X34" s="25"/>
      <c r="Y34" s="47"/>
    </row>
    <row r="35" spans="1:25" ht="13.5" customHeight="1" x14ac:dyDescent="0.15">
      <c r="A35" s="65"/>
      <c r="B35" s="65"/>
      <c r="C35" s="65" t="s">
        <v>6</v>
      </c>
      <c r="D35" s="94" t="s">
        <v>6</v>
      </c>
      <c r="E35" s="65" t="s">
        <v>6</v>
      </c>
      <c r="F35" s="65" t="s">
        <v>6</v>
      </c>
      <c r="G35" s="163"/>
      <c r="H35" s="73" t="s">
        <v>54</v>
      </c>
      <c r="I35" s="138" t="s">
        <v>33</v>
      </c>
      <c r="J35" s="53" t="s">
        <v>104</v>
      </c>
      <c r="K35" s="48">
        <f t="shared" si="4"/>
        <v>0</v>
      </c>
      <c r="L35" s="4">
        <f t="shared" si="13"/>
        <v>0</v>
      </c>
      <c r="M35" s="56"/>
      <c r="N35" s="25"/>
      <c r="O35" s="25"/>
      <c r="P35" s="25"/>
      <c r="Q35" s="25"/>
      <c r="R35" s="31"/>
      <c r="S35" s="4">
        <f t="shared" si="2"/>
        <v>0</v>
      </c>
      <c r="T35" s="56"/>
      <c r="U35" s="25"/>
      <c r="V35" s="25"/>
      <c r="W35" s="25"/>
      <c r="X35" s="25"/>
      <c r="Y35" s="47"/>
    </row>
    <row r="36" spans="1:25" ht="13.5" customHeight="1" x14ac:dyDescent="0.15">
      <c r="A36" s="65"/>
      <c r="B36" s="65"/>
      <c r="C36" s="65" t="s">
        <v>6</v>
      </c>
      <c r="D36" s="94" t="s">
        <v>6</v>
      </c>
      <c r="E36" s="65" t="s">
        <v>6</v>
      </c>
      <c r="F36" s="65" t="s">
        <v>6</v>
      </c>
      <c r="G36" s="163"/>
      <c r="H36" s="73" t="s">
        <v>55</v>
      </c>
      <c r="I36" s="138" t="s">
        <v>33</v>
      </c>
      <c r="J36" s="53" t="s">
        <v>105</v>
      </c>
      <c r="K36" s="48">
        <f t="shared" si="4"/>
        <v>0</v>
      </c>
      <c r="L36" s="4">
        <f t="shared" si="13"/>
        <v>0</v>
      </c>
      <c r="M36" s="56"/>
      <c r="N36" s="25"/>
      <c r="O36" s="25"/>
      <c r="P36" s="25"/>
      <c r="Q36" s="25"/>
      <c r="R36" s="31"/>
      <c r="S36" s="4">
        <f t="shared" si="2"/>
        <v>0</v>
      </c>
      <c r="T36" s="56"/>
      <c r="U36" s="25"/>
      <c r="V36" s="25"/>
      <c r="W36" s="25"/>
      <c r="X36" s="25"/>
      <c r="Y36" s="47"/>
    </row>
    <row r="37" spans="1:25" ht="13.5" customHeight="1" x14ac:dyDescent="0.15">
      <c r="A37" s="65"/>
      <c r="B37" s="65"/>
      <c r="C37" s="65" t="s">
        <v>6</v>
      </c>
      <c r="D37" s="94" t="s">
        <v>6</v>
      </c>
      <c r="E37" s="65" t="s">
        <v>6</v>
      </c>
      <c r="F37" s="65" t="s">
        <v>6</v>
      </c>
      <c r="G37" s="163"/>
      <c r="H37" s="73" t="s">
        <v>56</v>
      </c>
      <c r="I37" s="138" t="s">
        <v>33</v>
      </c>
      <c r="J37" s="53" t="s">
        <v>106</v>
      </c>
      <c r="K37" s="48">
        <f t="shared" si="4"/>
        <v>0</v>
      </c>
      <c r="L37" s="4">
        <f t="shared" si="13"/>
        <v>0</v>
      </c>
      <c r="M37" s="56"/>
      <c r="N37" s="25"/>
      <c r="O37" s="25"/>
      <c r="P37" s="25"/>
      <c r="Q37" s="25"/>
      <c r="R37" s="31"/>
      <c r="S37" s="4">
        <f t="shared" si="2"/>
        <v>0</v>
      </c>
      <c r="T37" s="56"/>
      <c r="U37" s="25"/>
      <c r="V37" s="25"/>
      <c r="W37" s="25"/>
      <c r="X37" s="25"/>
      <c r="Y37" s="47"/>
    </row>
    <row r="38" spans="1:25" ht="13.5" customHeight="1" x14ac:dyDescent="0.15">
      <c r="A38" s="65" t="s">
        <v>6</v>
      </c>
      <c r="B38" s="65"/>
      <c r="C38" s="65" t="s">
        <v>6</v>
      </c>
      <c r="D38" s="94" t="s">
        <v>6</v>
      </c>
      <c r="E38" s="65" t="s">
        <v>6</v>
      </c>
      <c r="F38" s="65" t="s">
        <v>6</v>
      </c>
      <c r="G38" s="163"/>
      <c r="H38" s="73" t="s">
        <v>57</v>
      </c>
      <c r="I38" s="138" t="s">
        <v>33</v>
      </c>
      <c r="J38" s="53" t="s">
        <v>107</v>
      </c>
      <c r="K38" s="48">
        <f t="shared" si="4"/>
        <v>0</v>
      </c>
      <c r="L38" s="4">
        <f t="shared" si="13"/>
        <v>0</v>
      </c>
      <c r="M38" s="56"/>
      <c r="N38" s="25"/>
      <c r="O38" s="25"/>
      <c r="P38" s="25"/>
      <c r="Q38" s="25"/>
      <c r="R38" s="31"/>
      <c r="S38" s="4">
        <f t="shared" si="2"/>
        <v>0</v>
      </c>
      <c r="T38" s="56"/>
      <c r="U38" s="25"/>
      <c r="V38" s="25"/>
      <c r="W38" s="25"/>
      <c r="X38" s="25"/>
      <c r="Y38" s="47"/>
    </row>
    <row r="39" spans="1:25" ht="13.5" customHeight="1" x14ac:dyDescent="0.15">
      <c r="A39" s="65" t="s">
        <v>6</v>
      </c>
      <c r="B39" s="65"/>
      <c r="C39" s="65" t="s">
        <v>6</v>
      </c>
      <c r="D39" s="94" t="s">
        <v>6</v>
      </c>
      <c r="E39" s="65" t="s">
        <v>6</v>
      </c>
      <c r="F39" s="65" t="s">
        <v>6</v>
      </c>
      <c r="G39" s="163"/>
      <c r="H39" s="73" t="s">
        <v>58</v>
      </c>
      <c r="I39" s="138" t="s">
        <v>33</v>
      </c>
      <c r="J39" s="53" t="s">
        <v>108</v>
      </c>
      <c r="K39" s="48">
        <f t="shared" si="4"/>
        <v>0</v>
      </c>
      <c r="L39" s="4">
        <f t="shared" si="13"/>
        <v>0</v>
      </c>
      <c r="M39" s="56"/>
      <c r="N39" s="25"/>
      <c r="O39" s="25"/>
      <c r="P39" s="25"/>
      <c r="Q39" s="25"/>
      <c r="R39" s="31"/>
      <c r="S39" s="4">
        <f t="shared" si="2"/>
        <v>0</v>
      </c>
      <c r="T39" s="56"/>
      <c r="U39" s="25"/>
      <c r="V39" s="25"/>
      <c r="W39" s="25"/>
      <c r="X39" s="25"/>
      <c r="Y39" s="47"/>
    </row>
    <row r="40" spans="1:25" ht="13.5" customHeight="1" x14ac:dyDescent="0.15">
      <c r="A40" s="65" t="s">
        <v>6</v>
      </c>
      <c r="B40" s="65"/>
      <c r="C40" s="65" t="s">
        <v>6</v>
      </c>
      <c r="D40" s="94" t="s">
        <v>6</v>
      </c>
      <c r="E40" s="65" t="s">
        <v>6</v>
      </c>
      <c r="F40" s="65" t="s">
        <v>6</v>
      </c>
      <c r="G40" s="163"/>
      <c r="H40" s="73" t="s">
        <v>59</v>
      </c>
      <c r="I40" s="138" t="s">
        <v>33</v>
      </c>
      <c r="J40" s="53" t="s">
        <v>109</v>
      </c>
      <c r="K40" s="48">
        <f t="shared" si="4"/>
        <v>0</v>
      </c>
      <c r="L40" s="4">
        <f t="shared" si="13"/>
        <v>0</v>
      </c>
      <c r="M40" s="56"/>
      <c r="N40" s="25"/>
      <c r="O40" s="25"/>
      <c r="P40" s="25"/>
      <c r="Q40" s="25"/>
      <c r="R40" s="31"/>
      <c r="S40" s="4">
        <f t="shared" si="2"/>
        <v>0</v>
      </c>
      <c r="T40" s="56"/>
      <c r="U40" s="25"/>
      <c r="V40" s="25"/>
      <c r="W40" s="25"/>
      <c r="X40" s="25"/>
      <c r="Y40" s="47"/>
    </row>
    <row r="41" spans="1:25" ht="13.5" customHeight="1" x14ac:dyDescent="0.15">
      <c r="A41" s="65" t="s">
        <v>6</v>
      </c>
      <c r="B41" s="65"/>
      <c r="C41" s="65" t="s">
        <v>6</v>
      </c>
      <c r="D41" s="94" t="s">
        <v>6</v>
      </c>
      <c r="E41" s="65" t="s">
        <v>6</v>
      </c>
      <c r="F41" s="65" t="s">
        <v>6</v>
      </c>
      <c r="G41" s="163"/>
      <c r="H41" s="73" t="s">
        <v>60</v>
      </c>
      <c r="I41" s="138" t="s">
        <v>33</v>
      </c>
      <c r="J41" s="53" t="s">
        <v>110</v>
      </c>
      <c r="K41" s="48">
        <f t="shared" si="4"/>
        <v>0</v>
      </c>
      <c r="L41" s="4">
        <f t="shared" si="13"/>
        <v>0</v>
      </c>
      <c r="M41" s="56"/>
      <c r="N41" s="25"/>
      <c r="O41" s="25"/>
      <c r="P41" s="25"/>
      <c r="Q41" s="25"/>
      <c r="R41" s="31"/>
      <c r="S41" s="4">
        <f t="shared" si="2"/>
        <v>0</v>
      </c>
      <c r="T41" s="56"/>
      <c r="U41" s="25"/>
      <c r="V41" s="25"/>
      <c r="W41" s="25"/>
      <c r="X41" s="25"/>
      <c r="Y41" s="47"/>
    </row>
    <row r="42" spans="1:25" ht="13.5" customHeight="1" x14ac:dyDescent="0.15">
      <c r="A42" s="65"/>
      <c r="B42" s="65"/>
      <c r="C42" s="65" t="s">
        <v>6</v>
      </c>
      <c r="D42" s="94" t="s">
        <v>6</v>
      </c>
      <c r="E42" s="65" t="s">
        <v>6</v>
      </c>
      <c r="F42" s="65" t="s">
        <v>6</v>
      </c>
      <c r="G42" s="163"/>
      <c r="H42" s="73" t="s">
        <v>61</v>
      </c>
      <c r="I42" s="138" t="s">
        <v>33</v>
      </c>
      <c r="J42" s="53" t="s">
        <v>111</v>
      </c>
      <c r="K42" s="48">
        <f t="shared" si="4"/>
        <v>0</v>
      </c>
      <c r="L42" s="4">
        <f t="shared" si="13"/>
        <v>0</v>
      </c>
      <c r="M42" s="56"/>
      <c r="N42" s="25"/>
      <c r="O42" s="25"/>
      <c r="P42" s="25"/>
      <c r="Q42" s="25"/>
      <c r="R42" s="31"/>
      <c r="S42" s="4">
        <f t="shared" si="2"/>
        <v>0</v>
      </c>
      <c r="T42" s="56"/>
      <c r="U42" s="25"/>
      <c r="V42" s="25"/>
      <c r="W42" s="25"/>
      <c r="X42" s="25"/>
      <c r="Y42" s="47"/>
    </row>
    <row r="43" spans="1:25" ht="13.5" customHeight="1" x14ac:dyDescent="0.15">
      <c r="A43" s="65"/>
      <c r="B43" s="65"/>
      <c r="C43" s="65" t="s">
        <v>6</v>
      </c>
      <c r="D43" s="94" t="s">
        <v>6</v>
      </c>
      <c r="E43" s="65" t="s">
        <v>6</v>
      </c>
      <c r="F43" s="65" t="s">
        <v>6</v>
      </c>
      <c r="G43" s="163"/>
      <c r="H43" s="73" t="s">
        <v>62</v>
      </c>
      <c r="I43" s="138" t="s">
        <v>33</v>
      </c>
      <c r="J43" s="53" t="s">
        <v>112</v>
      </c>
      <c r="K43" s="48">
        <f t="shared" si="4"/>
        <v>0</v>
      </c>
      <c r="L43" s="4">
        <f t="shared" si="13"/>
        <v>0</v>
      </c>
      <c r="M43" s="56"/>
      <c r="N43" s="25"/>
      <c r="O43" s="25"/>
      <c r="P43" s="25"/>
      <c r="Q43" s="25"/>
      <c r="R43" s="31"/>
      <c r="S43" s="4">
        <f t="shared" si="2"/>
        <v>0</v>
      </c>
      <c r="T43" s="56"/>
      <c r="U43" s="25"/>
      <c r="V43" s="25"/>
      <c r="W43" s="25"/>
      <c r="X43" s="25"/>
      <c r="Y43" s="47"/>
    </row>
    <row r="44" spans="1:25" ht="13.5" customHeight="1" x14ac:dyDescent="0.15">
      <c r="A44" s="65"/>
      <c r="B44" s="65"/>
      <c r="C44" s="65" t="s">
        <v>6</v>
      </c>
      <c r="D44" s="94" t="s">
        <v>6</v>
      </c>
      <c r="E44" s="65" t="s">
        <v>6</v>
      </c>
      <c r="F44" s="65" t="s">
        <v>6</v>
      </c>
      <c r="G44" s="163"/>
      <c r="H44" s="77" t="s">
        <v>63</v>
      </c>
      <c r="I44" s="88" t="s">
        <v>33</v>
      </c>
      <c r="J44" s="54" t="s">
        <v>113</v>
      </c>
      <c r="K44" s="45">
        <f t="shared" si="4"/>
        <v>0</v>
      </c>
      <c r="L44" s="12">
        <f t="shared" si="13"/>
        <v>0</v>
      </c>
      <c r="M44" s="57"/>
      <c r="N44" s="60"/>
      <c r="O44" s="60"/>
      <c r="P44" s="60"/>
      <c r="Q44" s="60"/>
      <c r="R44" s="63"/>
      <c r="S44" s="12">
        <f t="shared" si="2"/>
        <v>0</v>
      </c>
      <c r="T44" s="57"/>
      <c r="U44" s="60"/>
      <c r="V44" s="60"/>
      <c r="W44" s="60"/>
      <c r="X44" s="60"/>
      <c r="Y44" s="46"/>
    </row>
    <row r="45" spans="1:25" ht="13.5" customHeight="1" x14ac:dyDescent="0.15">
      <c r="A45" s="65"/>
      <c r="B45" s="65"/>
      <c r="C45" s="65"/>
      <c r="D45" s="94"/>
      <c r="E45" s="65"/>
      <c r="F45" s="65"/>
      <c r="G45" s="164"/>
      <c r="H45" s="150" t="s">
        <v>8</v>
      </c>
      <c r="I45" s="151"/>
      <c r="J45" s="152"/>
      <c r="K45" s="45">
        <f>L45+S45</f>
        <v>0</v>
      </c>
      <c r="L45" s="12">
        <f>SUM(M45:R45)</f>
        <v>0</v>
      </c>
      <c r="M45" s="58">
        <f t="shared" ref="M45:R45" si="14">SUM(M27:M44)</f>
        <v>0</v>
      </c>
      <c r="N45" s="61">
        <f t="shared" si="14"/>
        <v>0</v>
      </c>
      <c r="O45" s="61">
        <f t="shared" si="14"/>
        <v>0</v>
      </c>
      <c r="P45" s="61">
        <f t="shared" si="14"/>
        <v>0</v>
      </c>
      <c r="Q45" s="61">
        <f t="shared" si="14"/>
        <v>0</v>
      </c>
      <c r="R45" s="64">
        <f t="shared" si="14"/>
        <v>0</v>
      </c>
      <c r="S45" s="12">
        <f>SUM(T45:Y45)</f>
        <v>0</v>
      </c>
      <c r="T45" s="58">
        <f t="shared" ref="T45:Y45" si="15">SUM(T27:T44)</f>
        <v>0</v>
      </c>
      <c r="U45" s="61">
        <f t="shared" si="15"/>
        <v>0</v>
      </c>
      <c r="V45" s="61">
        <f t="shared" si="15"/>
        <v>0</v>
      </c>
      <c r="W45" s="61">
        <f t="shared" si="15"/>
        <v>0</v>
      </c>
      <c r="X45" s="61">
        <f t="shared" si="15"/>
        <v>0</v>
      </c>
      <c r="Y45" s="45">
        <f t="shared" si="15"/>
        <v>0</v>
      </c>
    </row>
    <row r="46" spans="1:25" ht="13.5" customHeight="1" x14ac:dyDescent="0.15">
      <c r="A46" s="65"/>
      <c r="B46" s="65"/>
      <c r="C46" s="65"/>
      <c r="D46" s="94" t="s">
        <v>6</v>
      </c>
      <c r="E46" s="65"/>
      <c r="F46" s="65" t="s">
        <v>6</v>
      </c>
      <c r="G46" s="162" t="s">
        <v>87</v>
      </c>
      <c r="H46" s="50" t="s">
        <v>0</v>
      </c>
      <c r="I46" s="140" t="s">
        <v>33</v>
      </c>
      <c r="J46" s="133" t="s">
        <v>114</v>
      </c>
      <c r="K46" s="2">
        <f t="shared" si="4"/>
        <v>0</v>
      </c>
      <c r="L46" s="3">
        <f t="shared" ref="L46:L54" si="16">SUM(M46:R46)</f>
        <v>0</v>
      </c>
      <c r="M46" s="1">
        <f t="shared" ref="M46:R46" si="17">M47+M48</f>
        <v>0</v>
      </c>
      <c r="N46" s="59">
        <f t="shared" si="17"/>
        <v>0</v>
      </c>
      <c r="O46" s="59">
        <f t="shared" si="17"/>
        <v>0</v>
      </c>
      <c r="P46" s="59">
        <f t="shared" si="17"/>
        <v>0</v>
      </c>
      <c r="Q46" s="59">
        <f t="shared" si="17"/>
        <v>0</v>
      </c>
      <c r="R46" s="62">
        <f t="shared" si="17"/>
        <v>0</v>
      </c>
      <c r="S46" s="3">
        <f t="shared" si="2"/>
        <v>0</v>
      </c>
      <c r="T46" s="1">
        <f t="shared" ref="T46:Y46" si="18">T47+T48</f>
        <v>0</v>
      </c>
      <c r="U46" s="59">
        <f t="shared" si="18"/>
        <v>0</v>
      </c>
      <c r="V46" s="59">
        <f t="shared" si="18"/>
        <v>0</v>
      </c>
      <c r="W46" s="59">
        <f t="shared" si="18"/>
        <v>0</v>
      </c>
      <c r="X46" s="59">
        <f t="shared" si="18"/>
        <v>0</v>
      </c>
      <c r="Y46" s="2">
        <f t="shared" si="18"/>
        <v>0</v>
      </c>
    </row>
    <row r="47" spans="1:25" ht="13.5" customHeight="1" x14ac:dyDescent="0.15">
      <c r="A47" s="65" t="s">
        <v>148</v>
      </c>
      <c r="B47" s="65"/>
      <c r="C47" s="65" t="s">
        <v>148</v>
      </c>
      <c r="D47" s="94" t="s">
        <v>6</v>
      </c>
      <c r="E47" s="65" t="s">
        <v>148</v>
      </c>
      <c r="F47" s="65" t="s">
        <v>148</v>
      </c>
      <c r="G47" s="163"/>
      <c r="H47" s="51" t="s">
        <v>0</v>
      </c>
      <c r="I47" s="138" t="s">
        <v>34</v>
      </c>
      <c r="J47" s="53" t="s">
        <v>149</v>
      </c>
      <c r="K47" s="48">
        <f t="shared" si="4"/>
        <v>0</v>
      </c>
      <c r="L47" s="4">
        <f t="shared" si="16"/>
        <v>0</v>
      </c>
      <c r="M47" s="56"/>
      <c r="N47" s="25"/>
      <c r="O47" s="25"/>
      <c r="P47" s="25"/>
      <c r="Q47" s="25"/>
      <c r="R47" s="31"/>
      <c r="S47" s="4">
        <f t="shared" si="2"/>
        <v>0</v>
      </c>
      <c r="T47" s="56"/>
      <c r="U47" s="25"/>
      <c r="V47" s="25"/>
      <c r="W47" s="25"/>
      <c r="X47" s="25"/>
      <c r="Y47" s="47"/>
    </row>
    <row r="48" spans="1:25" ht="13.5" customHeight="1" x14ac:dyDescent="0.15">
      <c r="A48" s="65" t="s">
        <v>148</v>
      </c>
      <c r="B48" s="65"/>
      <c r="C48" s="65" t="s">
        <v>148</v>
      </c>
      <c r="D48" s="94" t="s">
        <v>6</v>
      </c>
      <c r="E48" s="65" t="s">
        <v>148</v>
      </c>
      <c r="F48" s="65" t="s">
        <v>148</v>
      </c>
      <c r="G48" s="163"/>
      <c r="H48" s="51" t="s">
        <v>0</v>
      </c>
      <c r="I48" s="138" t="s">
        <v>35</v>
      </c>
      <c r="J48" s="53" t="s">
        <v>150</v>
      </c>
      <c r="K48" s="48">
        <f t="shared" si="4"/>
        <v>0</v>
      </c>
      <c r="L48" s="4">
        <f t="shared" si="16"/>
        <v>0</v>
      </c>
      <c r="M48" s="56"/>
      <c r="N48" s="25"/>
      <c r="O48" s="25"/>
      <c r="P48" s="25"/>
      <c r="Q48" s="25"/>
      <c r="R48" s="31"/>
      <c r="S48" s="4">
        <f t="shared" si="2"/>
        <v>0</v>
      </c>
      <c r="T48" s="56"/>
      <c r="U48" s="25"/>
      <c r="V48" s="25"/>
      <c r="W48" s="25"/>
      <c r="X48" s="25"/>
      <c r="Y48" s="47"/>
    </row>
    <row r="49" spans="1:25" ht="13.5" customHeight="1" x14ac:dyDescent="0.15">
      <c r="A49" s="65" t="s">
        <v>148</v>
      </c>
      <c r="B49" s="65"/>
      <c r="C49" s="65" t="s">
        <v>148</v>
      </c>
      <c r="D49" s="94" t="s">
        <v>6</v>
      </c>
      <c r="E49" s="65" t="s">
        <v>148</v>
      </c>
      <c r="F49" s="65" t="s">
        <v>148</v>
      </c>
      <c r="G49" s="163"/>
      <c r="H49" s="51" t="s">
        <v>64</v>
      </c>
      <c r="I49" s="138" t="s">
        <v>33</v>
      </c>
      <c r="J49" s="53" t="s">
        <v>115</v>
      </c>
      <c r="K49" s="48">
        <f t="shared" si="4"/>
        <v>0</v>
      </c>
      <c r="L49" s="4">
        <f t="shared" si="16"/>
        <v>0</v>
      </c>
      <c r="M49" s="56"/>
      <c r="N49" s="25"/>
      <c r="O49" s="25"/>
      <c r="P49" s="25"/>
      <c r="Q49" s="25"/>
      <c r="R49" s="31"/>
      <c r="S49" s="4">
        <f t="shared" si="2"/>
        <v>0</v>
      </c>
      <c r="T49" s="56"/>
      <c r="U49" s="25"/>
      <c r="V49" s="25"/>
      <c r="W49" s="25"/>
      <c r="X49" s="25"/>
      <c r="Y49" s="47"/>
    </row>
    <row r="50" spans="1:25" ht="13.5" customHeight="1" x14ac:dyDescent="0.15">
      <c r="A50" s="65"/>
      <c r="B50" s="65"/>
      <c r="C50" s="65" t="s">
        <v>148</v>
      </c>
      <c r="D50" s="94" t="s">
        <v>6</v>
      </c>
      <c r="E50" s="65" t="s">
        <v>148</v>
      </c>
      <c r="F50" s="65" t="s">
        <v>148</v>
      </c>
      <c r="G50" s="163"/>
      <c r="H50" s="51" t="s">
        <v>65</v>
      </c>
      <c r="I50" s="138" t="s">
        <v>33</v>
      </c>
      <c r="J50" s="53" t="s">
        <v>116</v>
      </c>
      <c r="K50" s="48">
        <f t="shared" si="4"/>
        <v>0</v>
      </c>
      <c r="L50" s="4">
        <f t="shared" si="16"/>
        <v>0</v>
      </c>
      <c r="M50" s="56"/>
      <c r="N50" s="25"/>
      <c r="O50" s="25"/>
      <c r="P50" s="25"/>
      <c r="Q50" s="25"/>
      <c r="R50" s="31"/>
      <c r="S50" s="4">
        <f t="shared" si="2"/>
        <v>0</v>
      </c>
      <c r="T50" s="56"/>
      <c r="U50" s="25"/>
      <c r="V50" s="25"/>
      <c r="W50" s="25"/>
      <c r="X50" s="25"/>
      <c r="Y50" s="47"/>
    </row>
    <row r="51" spans="1:25" ht="13.5" customHeight="1" x14ac:dyDescent="0.15">
      <c r="A51" s="65" t="s">
        <v>148</v>
      </c>
      <c r="B51" s="65"/>
      <c r="C51" s="65" t="s">
        <v>148</v>
      </c>
      <c r="D51" s="94" t="s">
        <v>6</v>
      </c>
      <c r="E51" s="65" t="s">
        <v>148</v>
      </c>
      <c r="F51" s="65" t="s">
        <v>148</v>
      </c>
      <c r="G51" s="163"/>
      <c r="H51" s="51" t="s">
        <v>66</v>
      </c>
      <c r="I51" s="138" t="s">
        <v>33</v>
      </c>
      <c r="J51" s="53" t="s">
        <v>117</v>
      </c>
      <c r="K51" s="48">
        <f t="shared" si="4"/>
        <v>0</v>
      </c>
      <c r="L51" s="4">
        <f t="shared" si="16"/>
        <v>0</v>
      </c>
      <c r="M51" s="56"/>
      <c r="N51" s="25"/>
      <c r="O51" s="25"/>
      <c r="P51" s="25"/>
      <c r="Q51" s="25"/>
      <c r="R51" s="31"/>
      <c r="S51" s="4">
        <f t="shared" si="2"/>
        <v>0</v>
      </c>
      <c r="T51" s="56"/>
      <c r="U51" s="25"/>
      <c r="V51" s="25"/>
      <c r="W51" s="25"/>
      <c r="X51" s="25"/>
      <c r="Y51" s="47"/>
    </row>
    <row r="52" spans="1:25" ht="13.5" customHeight="1" x14ac:dyDescent="0.15">
      <c r="A52" s="65" t="s">
        <v>148</v>
      </c>
      <c r="B52" s="65"/>
      <c r="C52" s="65" t="s">
        <v>148</v>
      </c>
      <c r="D52" s="94" t="s">
        <v>6</v>
      </c>
      <c r="E52" s="65" t="s">
        <v>148</v>
      </c>
      <c r="F52" s="65" t="s">
        <v>148</v>
      </c>
      <c r="G52" s="163"/>
      <c r="H52" s="51" t="s">
        <v>67</v>
      </c>
      <c r="I52" s="138" t="s">
        <v>33</v>
      </c>
      <c r="J52" s="53" t="s">
        <v>118</v>
      </c>
      <c r="K52" s="48">
        <f t="shared" si="4"/>
        <v>0</v>
      </c>
      <c r="L52" s="4">
        <f t="shared" si="16"/>
        <v>0</v>
      </c>
      <c r="M52" s="56"/>
      <c r="N52" s="25"/>
      <c r="O52" s="25"/>
      <c r="P52" s="25"/>
      <c r="Q52" s="25"/>
      <c r="R52" s="31"/>
      <c r="S52" s="4">
        <f t="shared" si="2"/>
        <v>0</v>
      </c>
      <c r="T52" s="56"/>
      <c r="U52" s="25"/>
      <c r="V52" s="25"/>
      <c r="W52" s="25"/>
      <c r="X52" s="25"/>
      <c r="Y52" s="47"/>
    </row>
    <row r="53" spans="1:25" ht="13.5" customHeight="1" x14ac:dyDescent="0.15">
      <c r="A53" s="65" t="s">
        <v>148</v>
      </c>
      <c r="B53" s="65"/>
      <c r="C53" s="65" t="s">
        <v>148</v>
      </c>
      <c r="D53" s="94" t="s">
        <v>6</v>
      </c>
      <c r="E53" s="65" t="s">
        <v>148</v>
      </c>
      <c r="F53" s="65" t="s">
        <v>148</v>
      </c>
      <c r="G53" s="163"/>
      <c r="H53" s="51" t="s">
        <v>68</v>
      </c>
      <c r="I53" s="138" t="s">
        <v>33</v>
      </c>
      <c r="J53" s="53" t="s">
        <v>119</v>
      </c>
      <c r="K53" s="48">
        <f t="shared" si="4"/>
        <v>0</v>
      </c>
      <c r="L53" s="4">
        <f t="shared" si="16"/>
        <v>0</v>
      </c>
      <c r="M53" s="56"/>
      <c r="N53" s="25"/>
      <c r="O53" s="25"/>
      <c r="P53" s="25"/>
      <c r="Q53" s="25"/>
      <c r="R53" s="31"/>
      <c r="S53" s="4">
        <f t="shared" si="2"/>
        <v>0</v>
      </c>
      <c r="T53" s="56"/>
      <c r="U53" s="25"/>
      <c r="V53" s="25"/>
      <c r="W53" s="25"/>
      <c r="X53" s="25"/>
      <c r="Y53" s="47"/>
    </row>
    <row r="54" spans="1:25" ht="13.5" customHeight="1" x14ac:dyDescent="0.15">
      <c r="A54" s="65" t="s">
        <v>148</v>
      </c>
      <c r="B54" s="65"/>
      <c r="C54" s="65" t="s">
        <v>148</v>
      </c>
      <c r="D54" s="94" t="s">
        <v>6</v>
      </c>
      <c r="E54" s="65" t="s">
        <v>148</v>
      </c>
      <c r="F54" s="65" t="s">
        <v>148</v>
      </c>
      <c r="G54" s="163"/>
      <c r="H54" s="51" t="s">
        <v>69</v>
      </c>
      <c r="I54" s="138" t="s">
        <v>33</v>
      </c>
      <c r="J54" s="53" t="s">
        <v>120</v>
      </c>
      <c r="K54" s="48">
        <f t="shared" si="4"/>
        <v>0</v>
      </c>
      <c r="L54" s="4">
        <f t="shared" si="16"/>
        <v>0</v>
      </c>
      <c r="M54" s="56"/>
      <c r="N54" s="25"/>
      <c r="O54" s="25"/>
      <c r="P54" s="25"/>
      <c r="Q54" s="25"/>
      <c r="R54" s="31"/>
      <c r="S54" s="4">
        <f t="shared" si="2"/>
        <v>0</v>
      </c>
      <c r="T54" s="56"/>
      <c r="U54" s="25"/>
      <c r="V54" s="25"/>
      <c r="W54" s="25"/>
      <c r="X54" s="25"/>
      <c r="Y54" s="47"/>
    </row>
    <row r="55" spans="1:25" ht="13.5" customHeight="1" x14ac:dyDescent="0.15">
      <c r="A55" s="65"/>
      <c r="B55" s="65"/>
      <c r="C55" s="65"/>
      <c r="D55" s="94"/>
      <c r="E55" s="65"/>
      <c r="F55" s="65"/>
      <c r="G55" s="163"/>
      <c r="H55" s="150" t="s">
        <v>8</v>
      </c>
      <c r="I55" s="151"/>
      <c r="J55" s="152"/>
      <c r="K55" s="45">
        <f>L55+S55</f>
        <v>0</v>
      </c>
      <c r="L55" s="12">
        <f>SUM(M55:R55)</f>
        <v>0</v>
      </c>
      <c r="M55" s="58">
        <f t="shared" ref="M55:R55" si="19">SUM(M47:M54)</f>
        <v>0</v>
      </c>
      <c r="N55" s="61">
        <f t="shared" si="19"/>
        <v>0</v>
      </c>
      <c r="O55" s="61">
        <f t="shared" si="19"/>
        <v>0</v>
      </c>
      <c r="P55" s="61">
        <f t="shared" si="19"/>
        <v>0</v>
      </c>
      <c r="Q55" s="61">
        <f t="shared" si="19"/>
        <v>0</v>
      </c>
      <c r="R55" s="64">
        <f t="shared" si="19"/>
        <v>0</v>
      </c>
      <c r="S55" s="12">
        <f>SUM(T55:Y55)</f>
        <v>0</v>
      </c>
      <c r="T55" s="58">
        <f t="shared" ref="T55:Y55" si="20">SUM(T47:T54)</f>
        <v>0</v>
      </c>
      <c r="U55" s="61">
        <f t="shared" si="20"/>
        <v>0</v>
      </c>
      <c r="V55" s="61">
        <f t="shared" si="20"/>
        <v>0</v>
      </c>
      <c r="W55" s="61">
        <f t="shared" si="20"/>
        <v>0</v>
      </c>
      <c r="X55" s="61">
        <f t="shared" si="20"/>
        <v>0</v>
      </c>
      <c r="Y55" s="45">
        <f t="shared" si="20"/>
        <v>0</v>
      </c>
    </row>
    <row r="56" spans="1:25" ht="13.5" customHeight="1" x14ac:dyDescent="0.15">
      <c r="A56" s="65"/>
      <c r="B56" s="65"/>
      <c r="C56" s="65" t="s">
        <v>148</v>
      </c>
      <c r="D56" s="94" t="s">
        <v>6</v>
      </c>
      <c r="E56" s="65" t="s">
        <v>148</v>
      </c>
      <c r="F56" s="65" t="s">
        <v>148</v>
      </c>
      <c r="G56" s="164"/>
      <c r="H56" s="52" t="s">
        <v>70</v>
      </c>
      <c r="I56" s="140" t="s">
        <v>33</v>
      </c>
      <c r="J56" s="54" t="s">
        <v>121</v>
      </c>
      <c r="K56" s="45">
        <f t="shared" ref="K56" si="21">L56+S56</f>
        <v>0</v>
      </c>
      <c r="L56" s="12">
        <f t="shared" ref="L56" si="22">SUM(M56:R56)</f>
        <v>0</v>
      </c>
      <c r="M56" s="57"/>
      <c r="N56" s="60"/>
      <c r="O56" s="60"/>
      <c r="P56" s="60"/>
      <c r="Q56" s="60"/>
      <c r="R56" s="63"/>
      <c r="S56" s="12">
        <f t="shared" ref="S56" si="23">SUM(T56:Y56)</f>
        <v>0</v>
      </c>
      <c r="T56" s="57"/>
      <c r="U56" s="60"/>
      <c r="V56" s="60"/>
      <c r="W56" s="60"/>
      <c r="X56" s="60"/>
      <c r="Y56" s="46"/>
    </row>
    <row r="57" spans="1:25" ht="13.5" customHeight="1" x14ac:dyDescent="0.15">
      <c r="A57" s="65"/>
      <c r="B57" s="65"/>
      <c r="C57" s="65"/>
      <c r="D57" s="94"/>
      <c r="E57" s="65"/>
      <c r="F57" s="65"/>
      <c r="G57" s="144"/>
      <c r="H57" s="150" t="s">
        <v>151</v>
      </c>
      <c r="I57" s="151"/>
      <c r="J57" s="152"/>
      <c r="K57" s="14">
        <f>L57+S57</f>
        <v>0</v>
      </c>
      <c r="L57" s="7">
        <f>SUM(M57:R57)</f>
        <v>0</v>
      </c>
      <c r="M57" s="13">
        <f>M26+M45+M55+M56</f>
        <v>0</v>
      </c>
      <c r="N57" s="8">
        <f>N26+N45+N55</f>
        <v>0</v>
      </c>
      <c r="O57" s="8">
        <f>O26+O45+O55</f>
        <v>0</v>
      </c>
      <c r="P57" s="8">
        <f>P26+P45+P55</f>
        <v>0</v>
      </c>
      <c r="Q57" s="8">
        <f>Q26+Q45+Q55</f>
        <v>0</v>
      </c>
      <c r="R57" s="16">
        <f>R26+R45+R55</f>
        <v>0</v>
      </c>
      <c r="S57" s="7">
        <f>SUM(T57:Y57)</f>
        <v>0</v>
      </c>
      <c r="T57" s="13">
        <f t="shared" ref="T57:Y57" si="24">T26+T45+T55</f>
        <v>0</v>
      </c>
      <c r="U57" s="8">
        <f t="shared" si="24"/>
        <v>0</v>
      </c>
      <c r="V57" s="8">
        <f t="shared" si="24"/>
        <v>0</v>
      </c>
      <c r="W57" s="8">
        <f t="shared" si="24"/>
        <v>0</v>
      </c>
      <c r="X57" s="8">
        <f t="shared" si="24"/>
        <v>0</v>
      </c>
      <c r="Y57" s="14">
        <f t="shared" si="24"/>
        <v>0</v>
      </c>
    </row>
    <row r="58" spans="1:25" ht="13.5" customHeight="1" x14ac:dyDescent="0.15">
      <c r="A58" s="65"/>
      <c r="B58" s="65"/>
      <c r="C58" s="65" t="s">
        <v>148</v>
      </c>
      <c r="D58" s="94" t="s">
        <v>6</v>
      </c>
      <c r="E58" s="65" t="s">
        <v>148</v>
      </c>
      <c r="F58" s="65" t="s">
        <v>148</v>
      </c>
      <c r="G58" s="145"/>
      <c r="H58" s="128" t="s">
        <v>71</v>
      </c>
      <c r="I58" s="87" t="s">
        <v>33</v>
      </c>
      <c r="J58" s="132" t="s">
        <v>1</v>
      </c>
      <c r="K58" s="14">
        <f t="shared" si="4"/>
        <v>0</v>
      </c>
      <c r="L58" s="7">
        <f>SUM(M58:R58)</f>
        <v>0</v>
      </c>
      <c r="M58" s="90"/>
      <c r="N58" s="91"/>
      <c r="O58" s="91"/>
      <c r="P58" s="91"/>
      <c r="Q58" s="91"/>
      <c r="R58" s="92"/>
      <c r="S58" s="7">
        <f>SUM(T58:Y58)</f>
        <v>0</v>
      </c>
      <c r="T58" s="90"/>
      <c r="U58" s="91"/>
      <c r="V58" s="91"/>
      <c r="W58" s="91"/>
      <c r="X58" s="91"/>
      <c r="Y58" s="110"/>
    </row>
    <row r="59" spans="1:25" ht="13.5" customHeight="1" x14ac:dyDescent="0.15">
      <c r="A59" s="65"/>
      <c r="B59" s="65"/>
      <c r="C59" s="65"/>
      <c r="D59" s="94"/>
      <c r="E59" s="65"/>
      <c r="F59" s="65"/>
      <c r="G59" s="146"/>
      <c r="H59" s="150" t="s">
        <v>152</v>
      </c>
      <c r="I59" s="151"/>
      <c r="J59" s="152"/>
      <c r="K59" s="45">
        <f>L59+S59</f>
        <v>0</v>
      </c>
      <c r="L59" s="12">
        <f>SUM(M59:R59)</f>
        <v>0</v>
      </c>
      <c r="M59" s="58">
        <f t="shared" ref="M59:R59" si="25">M57+M58</f>
        <v>0</v>
      </c>
      <c r="N59" s="61">
        <f t="shared" si="25"/>
        <v>0</v>
      </c>
      <c r="O59" s="61">
        <f t="shared" si="25"/>
        <v>0</v>
      </c>
      <c r="P59" s="61">
        <f t="shared" si="25"/>
        <v>0</v>
      </c>
      <c r="Q59" s="61">
        <f t="shared" si="25"/>
        <v>0</v>
      </c>
      <c r="R59" s="64">
        <f t="shared" si="25"/>
        <v>0</v>
      </c>
      <c r="S59" s="12">
        <f>SUM(T59:Y59)</f>
        <v>0</v>
      </c>
      <c r="T59" s="58">
        <f t="shared" ref="T59:Y59" si="26">T57+T58</f>
        <v>0</v>
      </c>
      <c r="U59" s="61">
        <f t="shared" si="26"/>
        <v>0</v>
      </c>
      <c r="V59" s="61">
        <f t="shared" si="26"/>
        <v>0</v>
      </c>
      <c r="W59" s="61">
        <f t="shared" si="26"/>
        <v>0</v>
      </c>
      <c r="X59" s="61">
        <f t="shared" si="26"/>
        <v>0</v>
      </c>
      <c r="Y59" s="45">
        <f t="shared" si="26"/>
        <v>0</v>
      </c>
    </row>
    <row r="60" spans="1:25" ht="13.5" customHeight="1" x14ac:dyDescent="0.15">
      <c r="A60" s="65"/>
      <c r="B60" s="65"/>
      <c r="C60" s="65"/>
      <c r="D60" s="94" t="s">
        <v>6</v>
      </c>
      <c r="E60" s="65" t="s">
        <v>6</v>
      </c>
      <c r="F60" s="65"/>
      <c r="G60" s="163" t="s">
        <v>9</v>
      </c>
      <c r="H60" s="50" t="s">
        <v>72</v>
      </c>
      <c r="I60" s="140" t="s">
        <v>33</v>
      </c>
      <c r="J60" s="133" t="s">
        <v>2</v>
      </c>
      <c r="K60" s="2">
        <f t="shared" ref="K60:K64" si="27">L60+S60</f>
        <v>0</v>
      </c>
      <c r="L60" s="3">
        <f t="shared" ref="L60:L64" si="28">SUM(M60:R60)</f>
        <v>0</v>
      </c>
      <c r="M60" s="116"/>
      <c r="N60" s="117"/>
      <c r="O60" s="117"/>
      <c r="P60" s="117"/>
      <c r="Q60" s="117"/>
      <c r="R60" s="118"/>
      <c r="S60" s="3">
        <f t="shared" ref="S60:S64" si="29">SUM(T60:Y60)</f>
        <v>0</v>
      </c>
      <c r="T60" s="116"/>
      <c r="U60" s="117"/>
      <c r="V60" s="117"/>
      <c r="W60" s="117"/>
      <c r="X60" s="117"/>
      <c r="Y60" s="122"/>
    </row>
    <row r="61" spans="1:25" ht="13.5" customHeight="1" x14ac:dyDescent="0.15">
      <c r="A61" s="65"/>
      <c r="B61" s="65"/>
      <c r="C61" s="65"/>
      <c r="D61" s="94" t="s">
        <v>6</v>
      </c>
      <c r="E61" s="65" t="s">
        <v>6</v>
      </c>
      <c r="F61" s="65"/>
      <c r="G61" s="163"/>
      <c r="H61" s="51" t="s">
        <v>73</v>
      </c>
      <c r="I61" s="138" t="s">
        <v>33</v>
      </c>
      <c r="J61" s="53" t="s">
        <v>3</v>
      </c>
      <c r="K61" s="48">
        <f t="shared" si="27"/>
        <v>0</v>
      </c>
      <c r="L61" s="4">
        <f t="shared" si="28"/>
        <v>0</v>
      </c>
      <c r="M61" s="119"/>
      <c r="N61" s="120"/>
      <c r="O61" s="120"/>
      <c r="P61" s="120"/>
      <c r="Q61" s="120"/>
      <c r="R61" s="121"/>
      <c r="S61" s="4">
        <f t="shared" si="29"/>
        <v>0</v>
      </c>
      <c r="T61" s="119"/>
      <c r="U61" s="120"/>
      <c r="V61" s="120"/>
      <c r="W61" s="120"/>
      <c r="X61" s="120"/>
      <c r="Y61" s="123"/>
    </row>
    <row r="62" spans="1:25" ht="13.5" customHeight="1" x14ac:dyDescent="0.15">
      <c r="A62" s="65"/>
      <c r="B62" s="65"/>
      <c r="C62" s="65"/>
      <c r="D62" s="94" t="s">
        <v>6</v>
      </c>
      <c r="E62" s="65" t="s">
        <v>6</v>
      </c>
      <c r="F62" s="65"/>
      <c r="G62" s="163"/>
      <c r="H62" s="51" t="s">
        <v>74</v>
      </c>
      <c r="I62" s="138" t="s">
        <v>33</v>
      </c>
      <c r="J62" s="53" t="s">
        <v>4</v>
      </c>
      <c r="K62" s="48">
        <f t="shared" si="27"/>
        <v>0</v>
      </c>
      <c r="L62" s="4">
        <f t="shared" si="28"/>
        <v>0</v>
      </c>
      <c r="M62" s="119"/>
      <c r="N62" s="120"/>
      <c r="O62" s="120"/>
      <c r="P62" s="120"/>
      <c r="Q62" s="120"/>
      <c r="R62" s="121"/>
      <c r="S62" s="4">
        <f t="shared" si="29"/>
        <v>0</v>
      </c>
      <c r="T62" s="119"/>
      <c r="U62" s="120"/>
      <c r="V62" s="120"/>
      <c r="W62" s="120"/>
      <c r="X62" s="120"/>
      <c r="Y62" s="123"/>
    </row>
    <row r="63" spans="1:25" ht="13.5" customHeight="1" x14ac:dyDescent="0.15">
      <c r="A63" s="65"/>
      <c r="B63" s="65"/>
      <c r="C63" s="65"/>
      <c r="D63" s="94" t="s">
        <v>6</v>
      </c>
      <c r="E63" s="65" t="s">
        <v>148</v>
      </c>
      <c r="F63" s="65"/>
      <c r="G63" s="163"/>
      <c r="H63" s="51" t="s">
        <v>75</v>
      </c>
      <c r="I63" s="138" t="s">
        <v>33</v>
      </c>
      <c r="J63" s="53" t="s">
        <v>153</v>
      </c>
      <c r="K63" s="104">
        <f t="shared" si="27"/>
        <v>0</v>
      </c>
      <c r="L63" s="10">
        <f t="shared" si="28"/>
        <v>0</v>
      </c>
      <c r="M63" s="105"/>
      <c r="N63" s="106"/>
      <c r="O63" s="106"/>
      <c r="P63" s="106"/>
      <c r="Q63" s="106"/>
      <c r="R63" s="107"/>
      <c r="S63" s="10">
        <f t="shared" si="29"/>
        <v>0</v>
      </c>
      <c r="T63" s="105"/>
      <c r="U63" s="106"/>
      <c r="V63" s="106"/>
      <c r="W63" s="106"/>
      <c r="X63" s="106"/>
      <c r="Y63" s="108"/>
    </row>
    <row r="64" spans="1:25" ht="13.5" customHeight="1" x14ac:dyDescent="0.15">
      <c r="A64" s="65"/>
      <c r="B64" s="65"/>
      <c r="C64" s="65" t="s">
        <v>148</v>
      </c>
      <c r="D64" s="94" t="s">
        <v>6</v>
      </c>
      <c r="E64" s="65" t="s">
        <v>148</v>
      </c>
      <c r="F64" s="65" t="s">
        <v>148</v>
      </c>
      <c r="G64" s="164"/>
      <c r="H64" s="21" t="s">
        <v>76</v>
      </c>
      <c r="I64" s="88" t="s">
        <v>33</v>
      </c>
      <c r="J64" s="134" t="s">
        <v>122</v>
      </c>
      <c r="K64" s="15">
        <f t="shared" si="27"/>
        <v>0</v>
      </c>
      <c r="L64" s="15">
        <f t="shared" si="28"/>
        <v>0</v>
      </c>
      <c r="M64" s="89"/>
      <c r="N64" s="71"/>
      <c r="O64" s="71"/>
      <c r="P64" s="71"/>
      <c r="Q64" s="71"/>
      <c r="R64" s="72"/>
      <c r="S64" s="15">
        <f t="shared" si="29"/>
        <v>0</v>
      </c>
      <c r="T64" s="89"/>
      <c r="U64" s="71"/>
      <c r="V64" s="71"/>
      <c r="W64" s="71"/>
      <c r="X64" s="71"/>
      <c r="Y64" s="109"/>
    </row>
    <row r="65" spans="1:25" ht="13.5" customHeight="1" x14ac:dyDescent="0.15">
      <c r="A65" s="65"/>
      <c r="B65" s="65"/>
      <c r="C65" s="65"/>
      <c r="D65" s="94"/>
      <c r="E65" s="65"/>
      <c r="F65" s="65"/>
      <c r="G65" s="147" t="s">
        <v>154</v>
      </c>
      <c r="H65" s="148"/>
      <c r="I65" s="148"/>
      <c r="J65" s="149"/>
      <c r="K65" s="45">
        <f>L65+S65</f>
        <v>0</v>
      </c>
      <c r="L65" s="12">
        <f>SUM(M65:R65)</f>
        <v>0</v>
      </c>
      <c r="M65" s="58">
        <f t="shared" ref="M65:R65" si="30">M59+SUM(M60:M64)</f>
        <v>0</v>
      </c>
      <c r="N65" s="61">
        <f t="shared" si="30"/>
        <v>0</v>
      </c>
      <c r="O65" s="61">
        <f t="shared" si="30"/>
        <v>0</v>
      </c>
      <c r="P65" s="61">
        <f t="shared" si="30"/>
        <v>0</v>
      </c>
      <c r="Q65" s="61">
        <f t="shared" si="30"/>
        <v>0</v>
      </c>
      <c r="R65" s="64">
        <f t="shared" si="30"/>
        <v>0</v>
      </c>
      <c r="S65" s="12">
        <f>SUM(T65:Y65)</f>
        <v>0</v>
      </c>
      <c r="T65" s="58">
        <f t="shared" ref="T65:Y65" si="31">T59+SUM(T60:T64)</f>
        <v>0</v>
      </c>
      <c r="U65" s="61">
        <f t="shared" si="31"/>
        <v>0</v>
      </c>
      <c r="V65" s="61">
        <f t="shared" si="31"/>
        <v>0</v>
      </c>
      <c r="W65" s="61">
        <f t="shared" si="31"/>
        <v>0</v>
      </c>
      <c r="X65" s="61">
        <f t="shared" si="31"/>
        <v>0</v>
      </c>
      <c r="Y65" s="45">
        <f t="shared" si="31"/>
        <v>0</v>
      </c>
    </row>
    <row r="66" spans="1:25" ht="13.5" customHeight="1" x14ac:dyDescent="0.15">
      <c r="A66" s="66"/>
      <c r="B66" s="66"/>
      <c r="C66" s="66"/>
      <c r="D66" s="94"/>
      <c r="E66" s="66"/>
      <c r="F66" s="66"/>
      <c r="G66" s="135"/>
      <c r="H66" s="41"/>
      <c r="I66" s="42"/>
      <c r="J66" s="42"/>
      <c r="K66" s="43"/>
      <c r="L66" s="43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ht="13.5" customHeight="1" x14ac:dyDescent="0.15">
      <c r="A67" s="65"/>
      <c r="B67" s="65"/>
      <c r="C67" s="65" t="s">
        <v>148</v>
      </c>
      <c r="D67" s="94" t="s">
        <v>6</v>
      </c>
      <c r="E67" s="65" t="s">
        <v>148</v>
      </c>
      <c r="F67" s="65" t="s">
        <v>148</v>
      </c>
      <c r="G67" s="159" t="s">
        <v>155</v>
      </c>
      <c r="H67" s="18" t="s">
        <v>77</v>
      </c>
      <c r="I67" s="140" t="s">
        <v>33</v>
      </c>
      <c r="J67" s="136" t="s">
        <v>156</v>
      </c>
      <c r="K67" s="3">
        <f t="shared" ref="K67:K78" si="32">L67+S67</f>
        <v>0</v>
      </c>
      <c r="L67" s="11">
        <f t="shared" ref="L67:L78" si="33">SUM(M67:R67)</f>
        <v>0</v>
      </c>
      <c r="M67" s="38"/>
      <c r="N67" s="33"/>
      <c r="O67" s="33"/>
      <c r="P67" s="33"/>
      <c r="Q67" s="33"/>
      <c r="R67" s="34"/>
      <c r="S67" s="3">
        <f t="shared" ref="S67:S78" si="34">SUM(T67:Y67)</f>
        <v>0</v>
      </c>
      <c r="T67" s="29"/>
      <c r="U67" s="33"/>
      <c r="V67" s="33"/>
      <c r="W67" s="33"/>
      <c r="X67" s="33"/>
      <c r="Y67" s="32"/>
    </row>
    <row r="68" spans="1:25" ht="13.5" customHeight="1" x14ac:dyDescent="0.15">
      <c r="A68" s="65"/>
      <c r="B68" s="65"/>
      <c r="C68" s="65" t="s">
        <v>148</v>
      </c>
      <c r="D68" s="94" t="s">
        <v>6</v>
      </c>
      <c r="E68" s="65" t="s">
        <v>148</v>
      </c>
      <c r="F68" s="65" t="s">
        <v>148</v>
      </c>
      <c r="G68" s="160"/>
      <c r="H68" s="19" t="s">
        <v>78</v>
      </c>
      <c r="I68" s="130" t="s">
        <v>33</v>
      </c>
      <c r="J68" s="137" t="s">
        <v>157</v>
      </c>
      <c r="K68" s="4">
        <f t="shared" si="32"/>
        <v>0</v>
      </c>
      <c r="L68" s="4">
        <f t="shared" si="33"/>
        <v>0</v>
      </c>
      <c r="M68" s="24"/>
      <c r="N68" s="25"/>
      <c r="O68" s="25"/>
      <c r="P68" s="25"/>
      <c r="Q68" s="25"/>
      <c r="R68" s="26"/>
      <c r="S68" s="4">
        <f t="shared" si="34"/>
        <v>0</v>
      </c>
      <c r="T68" s="30"/>
      <c r="U68" s="25"/>
      <c r="V68" s="25"/>
      <c r="W68" s="25"/>
      <c r="X68" s="25"/>
      <c r="Y68" s="31"/>
    </row>
    <row r="69" spans="1:25" ht="13.5" customHeight="1" x14ac:dyDescent="0.15">
      <c r="A69" s="65"/>
      <c r="B69" s="65"/>
      <c r="C69" s="65" t="s">
        <v>148</v>
      </c>
      <c r="D69" s="94" t="s">
        <v>6</v>
      </c>
      <c r="E69" s="65" t="s">
        <v>148</v>
      </c>
      <c r="F69" s="65" t="s">
        <v>148</v>
      </c>
      <c r="G69" s="160"/>
      <c r="H69" s="19" t="s">
        <v>79</v>
      </c>
      <c r="I69" s="130" t="s">
        <v>33</v>
      </c>
      <c r="J69" s="137" t="s">
        <v>158</v>
      </c>
      <c r="K69" s="4">
        <f t="shared" si="32"/>
        <v>0</v>
      </c>
      <c r="L69" s="4">
        <f t="shared" si="33"/>
        <v>0</v>
      </c>
      <c r="M69" s="24"/>
      <c r="N69" s="25"/>
      <c r="O69" s="25"/>
      <c r="P69" s="25"/>
      <c r="Q69" s="25"/>
      <c r="R69" s="34"/>
      <c r="S69" s="4">
        <f t="shared" si="34"/>
        <v>0</v>
      </c>
      <c r="T69" s="30"/>
      <c r="U69" s="33"/>
      <c r="V69" s="33"/>
      <c r="W69" s="33"/>
      <c r="X69" s="33"/>
      <c r="Y69" s="40"/>
    </row>
    <row r="70" spans="1:25" ht="13.5" customHeight="1" x14ac:dyDescent="0.15">
      <c r="A70" s="65"/>
      <c r="B70" s="65"/>
      <c r="C70" s="65" t="s">
        <v>148</v>
      </c>
      <c r="D70" s="94" t="s">
        <v>6</v>
      </c>
      <c r="E70" s="65" t="s">
        <v>148</v>
      </c>
      <c r="F70" s="65" t="s">
        <v>148</v>
      </c>
      <c r="G70" s="160"/>
      <c r="H70" s="20" t="s">
        <v>80</v>
      </c>
      <c r="I70" s="130" t="s">
        <v>33</v>
      </c>
      <c r="J70" s="138" t="s">
        <v>159</v>
      </c>
      <c r="K70" s="5">
        <f t="shared" si="32"/>
        <v>0</v>
      </c>
      <c r="L70" s="5">
        <f t="shared" si="33"/>
        <v>0</v>
      </c>
      <c r="M70" s="24"/>
      <c r="N70" s="28"/>
      <c r="O70" s="28"/>
      <c r="P70" s="28"/>
      <c r="Q70" s="28"/>
      <c r="R70" s="26"/>
      <c r="S70" s="5">
        <f t="shared" si="34"/>
        <v>0</v>
      </c>
      <c r="T70" s="30"/>
      <c r="U70" s="25"/>
      <c r="V70" s="25"/>
      <c r="W70" s="25"/>
      <c r="X70" s="25"/>
      <c r="Y70" s="31"/>
    </row>
    <row r="71" spans="1:25" ht="13.5" customHeight="1" x14ac:dyDescent="0.15">
      <c r="A71" s="65"/>
      <c r="B71" s="65"/>
      <c r="C71" s="65" t="s">
        <v>148</v>
      </c>
      <c r="D71" s="94" t="s">
        <v>6</v>
      </c>
      <c r="E71" s="65" t="s">
        <v>148</v>
      </c>
      <c r="F71" s="65" t="s">
        <v>148</v>
      </c>
      <c r="G71" s="160"/>
      <c r="H71" s="19" t="s">
        <v>81</v>
      </c>
      <c r="I71" s="130" t="s">
        <v>33</v>
      </c>
      <c r="J71" s="88" t="s">
        <v>160</v>
      </c>
      <c r="K71" s="5">
        <f t="shared" si="32"/>
        <v>0</v>
      </c>
      <c r="L71" s="5">
        <f t="shared" si="33"/>
        <v>0</v>
      </c>
      <c r="M71" s="39"/>
      <c r="N71" s="28"/>
      <c r="O71" s="28"/>
      <c r="P71" s="28"/>
      <c r="Q71" s="28"/>
      <c r="R71" s="36"/>
      <c r="S71" s="5">
        <f t="shared" si="34"/>
        <v>0</v>
      </c>
      <c r="T71" s="37"/>
      <c r="U71" s="28"/>
      <c r="V71" s="28"/>
      <c r="W71" s="28"/>
      <c r="X71" s="28"/>
      <c r="Y71" s="35"/>
    </row>
    <row r="72" spans="1:25" ht="13.5" customHeight="1" x14ac:dyDescent="0.15">
      <c r="A72" s="65"/>
      <c r="B72" s="65"/>
      <c r="C72" s="65"/>
      <c r="D72" s="94"/>
      <c r="E72" s="65"/>
      <c r="F72" s="65"/>
      <c r="G72" s="161"/>
      <c r="H72" s="150" t="s">
        <v>8</v>
      </c>
      <c r="I72" s="151"/>
      <c r="J72" s="152"/>
      <c r="K72" s="7">
        <f>L72+S72</f>
        <v>0</v>
      </c>
      <c r="L72" s="7">
        <f>SUM(M72:R72)</f>
        <v>0</v>
      </c>
      <c r="M72" s="13">
        <f t="shared" ref="M72:R72" si="35">SUM(M67:M71)</f>
        <v>0</v>
      </c>
      <c r="N72" s="8">
        <f t="shared" si="35"/>
        <v>0</v>
      </c>
      <c r="O72" s="8">
        <f t="shared" si="35"/>
        <v>0</v>
      </c>
      <c r="P72" s="8">
        <f t="shared" si="35"/>
        <v>0</v>
      </c>
      <c r="Q72" s="8">
        <f t="shared" si="35"/>
        <v>0</v>
      </c>
      <c r="R72" s="9">
        <f t="shared" si="35"/>
        <v>0</v>
      </c>
      <c r="S72" s="7">
        <f>SUM(T72:Y72)</f>
        <v>0</v>
      </c>
      <c r="T72" s="6">
        <f t="shared" ref="T72:Y72" si="36">SUM(T67:T71)</f>
        <v>0</v>
      </c>
      <c r="U72" s="8">
        <f t="shared" si="36"/>
        <v>0</v>
      </c>
      <c r="V72" s="8">
        <f t="shared" si="36"/>
        <v>0</v>
      </c>
      <c r="W72" s="8">
        <f t="shared" si="36"/>
        <v>0</v>
      </c>
      <c r="X72" s="8">
        <f t="shared" si="36"/>
        <v>0</v>
      </c>
      <c r="Y72" s="16">
        <f t="shared" si="36"/>
        <v>0</v>
      </c>
    </row>
    <row r="73" spans="1:25" ht="13.5" customHeight="1" x14ac:dyDescent="0.15">
      <c r="A73" s="65"/>
      <c r="B73" s="65"/>
      <c r="C73" s="65" t="s">
        <v>148</v>
      </c>
      <c r="D73" s="94" t="s">
        <v>6</v>
      </c>
      <c r="E73" s="65" t="s">
        <v>148</v>
      </c>
      <c r="F73" s="65" t="s">
        <v>148</v>
      </c>
      <c r="G73" s="159" t="s">
        <v>161</v>
      </c>
      <c r="H73" s="18" t="s">
        <v>82</v>
      </c>
      <c r="I73" s="140" t="s">
        <v>33</v>
      </c>
      <c r="J73" s="136" t="s">
        <v>162</v>
      </c>
      <c r="K73" s="11">
        <f t="shared" si="32"/>
        <v>0</v>
      </c>
      <c r="L73" s="11">
        <f t="shared" si="33"/>
        <v>0</v>
      </c>
      <c r="M73" s="38"/>
      <c r="N73" s="33"/>
      <c r="O73" s="33"/>
      <c r="P73" s="33"/>
      <c r="Q73" s="33"/>
      <c r="R73" s="34"/>
      <c r="S73" s="11">
        <f t="shared" si="34"/>
        <v>0</v>
      </c>
      <c r="T73" s="29"/>
      <c r="U73" s="33"/>
      <c r="V73" s="33"/>
      <c r="W73" s="33"/>
      <c r="X73" s="33"/>
      <c r="Y73" s="40"/>
    </row>
    <row r="74" spans="1:25" ht="13.5" customHeight="1" x14ac:dyDescent="0.15">
      <c r="A74" s="65"/>
      <c r="B74" s="65"/>
      <c r="C74" s="65" t="s">
        <v>148</v>
      </c>
      <c r="D74" s="94" t="s">
        <v>6</v>
      </c>
      <c r="E74" s="65" t="s">
        <v>148</v>
      </c>
      <c r="F74" s="65" t="s">
        <v>148</v>
      </c>
      <c r="G74" s="160"/>
      <c r="H74" s="19" t="s">
        <v>83</v>
      </c>
      <c r="I74" s="130" t="s">
        <v>33</v>
      </c>
      <c r="J74" s="137" t="s">
        <v>163</v>
      </c>
      <c r="K74" s="4">
        <f t="shared" si="32"/>
        <v>0</v>
      </c>
      <c r="L74" s="4">
        <f t="shared" si="33"/>
        <v>0</v>
      </c>
      <c r="M74" s="24"/>
      <c r="N74" s="25"/>
      <c r="O74" s="25"/>
      <c r="P74" s="25"/>
      <c r="Q74" s="25"/>
      <c r="R74" s="26"/>
      <c r="S74" s="4">
        <f t="shared" si="34"/>
        <v>0</v>
      </c>
      <c r="T74" s="30"/>
      <c r="U74" s="25"/>
      <c r="V74" s="25"/>
      <c r="W74" s="25"/>
      <c r="X74" s="25"/>
      <c r="Y74" s="31"/>
    </row>
    <row r="75" spans="1:25" ht="13.5" customHeight="1" x14ac:dyDescent="0.15">
      <c r="A75" s="65"/>
      <c r="B75" s="65"/>
      <c r="C75" s="65" t="s">
        <v>148</v>
      </c>
      <c r="D75" s="94" t="s">
        <v>6</v>
      </c>
      <c r="E75" s="65" t="s">
        <v>148</v>
      </c>
      <c r="F75" s="65" t="s">
        <v>148</v>
      </c>
      <c r="G75" s="160"/>
      <c r="H75" s="19" t="s">
        <v>84</v>
      </c>
      <c r="I75" s="130" t="s">
        <v>33</v>
      </c>
      <c r="J75" s="137" t="s">
        <v>164</v>
      </c>
      <c r="K75" s="4">
        <f t="shared" si="32"/>
        <v>0</v>
      </c>
      <c r="L75" s="4">
        <f t="shared" si="33"/>
        <v>0</v>
      </c>
      <c r="M75" s="24"/>
      <c r="N75" s="25"/>
      <c r="O75" s="25"/>
      <c r="P75" s="25"/>
      <c r="Q75" s="25"/>
      <c r="R75" s="34"/>
      <c r="S75" s="4">
        <f t="shared" si="34"/>
        <v>0</v>
      </c>
      <c r="T75" s="30"/>
      <c r="U75" s="33"/>
      <c r="V75" s="33"/>
      <c r="W75" s="33"/>
      <c r="X75" s="33"/>
      <c r="Y75" s="40"/>
    </row>
    <row r="76" spans="1:25" ht="13.5" customHeight="1" x14ac:dyDescent="0.15">
      <c r="A76" s="65"/>
      <c r="B76" s="65"/>
      <c r="C76" s="65" t="s">
        <v>148</v>
      </c>
      <c r="D76" s="94" t="s">
        <v>6</v>
      </c>
      <c r="E76" s="65" t="s">
        <v>148</v>
      </c>
      <c r="F76" s="65" t="s">
        <v>148</v>
      </c>
      <c r="G76" s="160"/>
      <c r="H76" s="20" t="s">
        <v>85</v>
      </c>
      <c r="I76" s="130" t="s">
        <v>33</v>
      </c>
      <c r="J76" s="138" t="s">
        <v>165</v>
      </c>
      <c r="K76" s="5">
        <f t="shared" si="32"/>
        <v>0</v>
      </c>
      <c r="L76" s="5">
        <f t="shared" si="33"/>
        <v>0</v>
      </c>
      <c r="M76" s="24"/>
      <c r="N76" s="28"/>
      <c r="O76" s="28"/>
      <c r="P76" s="28"/>
      <c r="Q76" s="28"/>
      <c r="R76" s="26"/>
      <c r="S76" s="5">
        <f t="shared" si="34"/>
        <v>0</v>
      </c>
      <c r="T76" s="30"/>
      <c r="U76" s="25"/>
      <c r="V76" s="25"/>
      <c r="W76" s="25"/>
      <c r="X76" s="25"/>
      <c r="Y76" s="31"/>
    </row>
    <row r="77" spans="1:25" ht="13.5" customHeight="1" x14ac:dyDescent="0.15">
      <c r="A77" s="65"/>
      <c r="B77" s="65"/>
      <c r="C77" s="65" t="s">
        <v>148</v>
      </c>
      <c r="D77" s="94" t="s">
        <v>6</v>
      </c>
      <c r="E77" s="65" t="s">
        <v>148</v>
      </c>
      <c r="F77" s="65" t="s">
        <v>148</v>
      </c>
      <c r="G77" s="160"/>
      <c r="H77" s="19" t="s">
        <v>5</v>
      </c>
      <c r="I77" s="130" t="s">
        <v>33</v>
      </c>
      <c r="J77" s="137" t="s">
        <v>166</v>
      </c>
      <c r="K77" s="4">
        <f t="shared" si="32"/>
        <v>0</v>
      </c>
      <c r="L77" s="4">
        <f t="shared" si="33"/>
        <v>0</v>
      </c>
      <c r="M77" s="24"/>
      <c r="N77" s="25"/>
      <c r="O77" s="25"/>
      <c r="P77" s="25"/>
      <c r="Q77" s="25"/>
      <c r="R77" s="34"/>
      <c r="S77" s="4">
        <f t="shared" si="34"/>
        <v>0</v>
      </c>
      <c r="T77" s="30"/>
      <c r="U77" s="33"/>
      <c r="V77" s="33"/>
      <c r="W77" s="33"/>
      <c r="X77" s="33"/>
      <c r="Y77" s="40"/>
    </row>
    <row r="78" spans="1:25" ht="13.5" customHeight="1" x14ac:dyDescent="0.15">
      <c r="A78" s="65"/>
      <c r="B78" s="65"/>
      <c r="C78" s="65"/>
      <c r="D78" s="94" t="s">
        <v>6</v>
      </c>
      <c r="E78" s="65" t="s">
        <v>148</v>
      </c>
      <c r="F78" s="65"/>
      <c r="G78" s="160"/>
      <c r="H78" s="21" t="s">
        <v>86</v>
      </c>
      <c r="I78" s="130" t="s">
        <v>33</v>
      </c>
      <c r="J78" s="55" t="s">
        <v>167</v>
      </c>
      <c r="K78" s="10">
        <f t="shared" si="32"/>
        <v>0</v>
      </c>
      <c r="L78" s="5">
        <f t="shared" si="33"/>
        <v>0</v>
      </c>
      <c r="M78" s="96"/>
      <c r="N78" s="97"/>
      <c r="O78" s="97"/>
      <c r="P78" s="97"/>
      <c r="Q78" s="97"/>
      <c r="R78" s="98"/>
      <c r="S78" s="10">
        <f t="shared" si="34"/>
        <v>0</v>
      </c>
      <c r="T78" s="99"/>
      <c r="U78" s="97"/>
      <c r="V78" s="97"/>
      <c r="W78" s="97"/>
      <c r="X78" s="97"/>
      <c r="Y78" s="100"/>
    </row>
    <row r="79" spans="1:25" ht="13.5" customHeight="1" x14ac:dyDescent="0.15">
      <c r="A79" s="67"/>
      <c r="B79" s="67"/>
      <c r="C79" s="67"/>
      <c r="D79" s="95"/>
      <c r="E79" s="67"/>
      <c r="F79" s="68"/>
      <c r="G79" s="161"/>
      <c r="H79" s="150" t="s">
        <v>8</v>
      </c>
      <c r="I79" s="151"/>
      <c r="J79" s="152"/>
      <c r="K79" s="7">
        <f>L79+S79</f>
        <v>0</v>
      </c>
      <c r="L79" s="7">
        <f>SUM(M79:R79)</f>
        <v>0</v>
      </c>
      <c r="M79" s="13">
        <f t="shared" ref="M79:R79" si="37">SUM(M73:M78)</f>
        <v>0</v>
      </c>
      <c r="N79" s="8">
        <f t="shared" si="37"/>
        <v>0</v>
      </c>
      <c r="O79" s="8">
        <f t="shared" si="37"/>
        <v>0</v>
      </c>
      <c r="P79" s="8">
        <f t="shared" si="37"/>
        <v>0</v>
      </c>
      <c r="Q79" s="8">
        <f t="shared" si="37"/>
        <v>0</v>
      </c>
      <c r="R79" s="9">
        <f t="shared" si="37"/>
        <v>0</v>
      </c>
      <c r="S79" s="7">
        <f>SUM(T79:Y79)</f>
        <v>0</v>
      </c>
      <c r="T79" s="6">
        <f t="shared" ref="T79:Y79" si="38">SUM(T73:T78)</f>
        <v>0</v>
      </c>
      <c r="U79" s="8">
        <f t="shared" si="38"/>
        <v>0</v>
      </c>
      <c r="V79" s="8">
        <f t="shared" si="38"/>
        <v>0</v>
      </c>
      <c r="W79" s="8">
        <f t="shared" si="38"/>
        <v>0</v>
      </c>
      <c r="X79" s="8">
        <f t="shared" si="38"/>
        <v>0</v>
      </c>
      <c r="Y79" s="16">
        <f t="shared" si="38"/>
        <v>0</v>
      </c>
    </row>
    <row r="80" spans="1:25" x14ac:dyDescent="0.15">
      <c r="A80" s="23"/>
      <c r="H80" s="86"/>
      <c r="I80" s="86"/>
      <c r="J80" s="86"/>
    </row>
  </sheetData>
  <mergeCells count="22">
    <mergeCell ref="I2:J2"/>
    <mergeCell ref="G2:H2"/>
    <mergeCell ref="M2:Q2"/>
    <mergeCell ref="G4:H4"/>
    <mergeCell ref="H79:J79"/>
    <mergeCell ref="H72:J72"/>
    <mergeCell ref="H45:J45"/>
    <mergeCell ref="H26:J26"/>
    <mergeCell ref="H21:J21"/>
    <mergeCell ref="G73:G79"/>
    <mergeCell ref="G67:G72"/>
    <mergeCell ref="G27:G45"/>
    <mergeCell ref="G5:G26"/>
    <mergeCell ref="G46:G56"/>
    <mergeCell ref="G60:G64"/>
    <mergeCell ref="H17:J17"/>
    <mergeCell ref="H14:J14"/>
    <mergeCell ref="G57:G59"/>
    <mergeCell ref="G65:J65"/>
    <mergeCell ref="H55:J55"/>
    <mergeCell ref="H57:J57"/>
    <mergeCell ref="H59:J59"/>
  </mergeCells>
  <phoneticPr fontId="3"/>
  <dataValidations disablePrompts="1" count="1">
    <dataValidation type="whole" allowBlank="1" showInputMessage="1" showErrorMessage="1" sqref="T58:Y58 T63:Y63 M27:R44 M58:R58 T27:Y44 M67:R71 U73:Y78 U64:Y64 M73:R78 U67:Y71 T15:Y16 T18:Y20 M15:R16 M18:R20 M6:R13 T6:Y13 T47:Y54 M56:R56 U56:Y56 M63:R64 M47:R54 T22:Y25 M22:R25">
      <formula1>-99999999999</formula1>
      <formula2>99999999999</formula2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7"/>
  <sheetViews>
    <sheetView workbookViewId="0"/>
  </sheetViews>
  <sheetFormatPr defaultRowHeight="13.5" x14ac:dyDescent="0.15"/>
  <cols>
    <col min="1" max="1" width="13.75" style="112" bestFit="1" customWidth="1"/>
    <col min="2" max="2" width="25.25" style="112" bestFit="1" customWidth="1"/>
    <col min="3" max="16384" width="9" style="112"/>
  </cols>
  <sheetData>
    <row r="1" spans="1:2" x14ac:dyDescent="0.15">
      <c r="A1" s="112" t="s">
        <v>168</v>
      </c>
      <c r="B1" s="114"/>
    </row>
    <row r="2" spans="1:2" x14ac:dyDescent="0.15">
      <c r="A2" s="112" t="s">
        <v>30</v>
      </c>
      <c r="B2" s="113">
        <v>1</v>
      </c>
    </row>
    <row r="3" spans="1:2" x14ac:dyDescent="0.15">
      <c r="A3" s="112" t="s">
        <v>169</v>
      </c>
      <c r="B3" s="112" t="s">
        <v>31</v>
      </c>
    </row>
    <row r="4" spans="1:2" x14ac:dyDescent="0.15">
      <c r="A4" s="112" t="s">
        <v>170</v>
      </c>
    </row>
    <row r="5" spans="1:2" x14ac:dyDescent="0.15">
      <c r="A5" s="112" t="s">
        <v>171</v>
      </c>
      <c r="B5" s="115"/>
    </row>
    <row r="6" spans="1:2" x14ac:dyDescent="0.15">
      <c r="A6" s="112" t="s">
        <v>172</v>
      </c>
      <c r="B6" s="115"/>
    </row>
    <row r="7" spans="1:2" x14ac:dyDescent="0.15">
      <c r="A7" s="112" t="s">
        <v>125</v>
      </c>
      <c r="B7" s="115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部門別経費予算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本山敦士</cp:lastModifiedBy>
  <cp:revision/>
  <dcterms:created xsi:type="dcterms:W3CDTF">2008-07-08T15:15:00Z</dcterms:created>
  <dcterms:modified xsi:type="dcterms:W3CDTF">2026-06-16T09:26:52Z</dcterms:modified>
  <cp:category/>
</cp:coreProperties>
</file>