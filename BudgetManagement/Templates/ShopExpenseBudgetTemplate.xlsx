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900017\source\repos\BudgetManagement\BudgetManagement\Templates\"/>
    </mc:Choice>
  </mc:AlternateContent>
  <bookViews>
    <workbookView xWindow="240" yWindow="90" windowWidth="14940" windowHeight="8100"/>
  </bookViews>
  <sheets>
    <sheet name="ショップ経費予算" sheetId="1" r:id="rId1"/>
    <sheet name="Settings" sheetId="2" r:id="rId2"/>
  </sheets>
  <definedNames>
    <definedName name="_xlnm.Print_Titles" localSheetId="0">ショップ経費予算!$H:$J</definedName>
  </definedNames>
  <calcPr calcId="162913"/>
</workbook>
</file>

<file path=xl/calcChain.xml><?xml version="1.0" encoding="utf-8"?>
<calcChain xmlns="http://schemas.openxmlformats.org/spreadsheetml/2006/main">
  <c r="M2" i="1" l="1"/>
  <c r="J2" i="1"/>
  <c r="H1" i="1"/>
  <c r="D9" i="2" l="1"/>
  <c r="C9" i="2"/>
  <c r="D8" i="2"/>
  <c r="C8" i="2"/>
  <c r="L5" i="1" l="1"/>
  <c r="S5" i="1"/>
  <c r="L6" i="1"/>
  <c r="S6" i="1"/>
  <c r="K6" i="1" s="1"/>
  <c r="L7" i="1"/>
  <c r="S7" i="1"/>
  <c r="L8" i="1"/>
  <c r="S8" i="1"/>
  <c r="K8" i="1" s="1"/>
  <c r="L9" i="1"/>
  <c r="S9" i="1"/>
  <c r="L10" i="1"/>
  <c r="S10" i="1"/>
  <c r="K10" i="1" s="1"/>
  <c r="M11" i="1"/>
  <c r="N11" i="1"/>
  <c r="O11" i="1"/>
  <c r="O18" i="1" s="1"/>
  <c r="P11" i="1"/>
  <c r="Q11" i="1"/>
  <c r="R11" i="1"/>
  <c r="T11" i="1"/>
  <c r="U11" i="1"/>
  <c r="V11" i="1"/>
  <c r="W11" i="1"/>
  <c r="X11" i="1"/>
  <c r="Y11" i="1"/>
  <c r="L12" i="1"/>
  <c r="S12" i="1"/>
  <c r="L13" i="1"/>
  <c r="S13" i="1"/>
  <c r="L14" i="1"/>
  <c r="S14" i="1"/>
  <c r="K14" i="1" s="1"/>
  <c r="L15" i="1"/>
  <c r="S15" i="1"/>
  <c r="L16" i="1"/>
  <c r="S16" i="1"/>
  <c r="K16" i="1" s="1"/>
  <c r="M17" i="1"/>
  <c r="M18" i="1" s="1"/>
  <c r="N17" i="1"/>
  <c r="O17" i="1"/>
  <c r="P17" i="1"/>
  <c r="Q17" i="1"/>
  <c r="R17" i="1"/>
  <c r="T17" i="1"/>
  <c r="U17" i="1"/>
  <c r="U18" i="1" s="1"/>
  <c r="V17" i="1"/>
  <c r="W17" i="1"/>
  <c r="X17" i="1"/>
  <c r="Y17" i="1"/>
  <c r="Y18" i="1"/>
  <c r="L20" i="1"/>
  <c r="S20" i="1"/>
  <c r="L21" i="1"/>
  <c r="S21" i="1"/>
  <c r="L22" i="1"/>
  <c r="S22" i="1"/>
  <c r="L23" i="1"/>
  <c r="S23" i="1"/>
  <c r="L24" i="1"/>
  <c r="S24" i="1"/>
  <c r="L27" i="1"/>
  <c r="S27" i="1"/>
  <c r="L28" i="1"/>
  <c r="S28" i="1"/>
  <c r="M29" i="1"/>
  <c r="N29" i="1"/>
  <c r="O29" i="1"/>
  <c r="P29" i="1"/>
  <c r="Q29" i="1"/>
  <c r="R29" i="1"/>
  <c r="T29" i="1"/>
  <c r="U29" i="1"/>
  <c r="V29" i="1"/>
  <c r="W29" i="1"/>
  <c r="X29" i="1"/>
  <c r="Y29" i="1"/>
  <c r="M35" i="1"/>
  <c r="N35" i="1"/>
  <c r="N19" i="1" s="1"/>
  <c r="N25" i="1" s="1"/>
  <c r="O35" i="1"/>
  <c r="O19" i="1" s="1"/>
  <c r="O25" i="1" s="1"/>
  <c r="P35" i="1"/>
  <c r="P19" i="1" s="1"/>
  <c r="P25" i="1" s="1"/>
  <c r="Q35" i="1"/>
  <c r="Q19" i="1" s="1"/>
  <c r="Q25" i="1" s="1"/>
  <c r="R35" i="1"/>
  <c r="R19" i="1" s="1"/>
  <c r="R25" i="1" s="1"/>
  <c r="T35" i="1"/>
  <c r="T19" i="1" s="1"/>
  <c r="T25" i="1" s="1"/>
  <c r="U35" i="1"/>
  <c r="U19" i="1" s="1"/>
  <c r="U25" i="1" s="1"/>
  <c r="V35" i="1"/>
  <c r="V19" i="1" s="1"/>
  <c r="V25" i="1" s="1"/>
  <c r="W35" i="1"/>
  <c r="W19" i="1" s="1"/>
  <c r="W25" i="1" s="1"/>
  <c r="X35" i="1"/>
  <c r="X19" i="1" s="1"/>
  <c r="X25" i="1" s="1"/>
  <c r="Y35" i="1"/>
  <c r="Y19" i="1" s="1"/>
  <c r="Y25" i="1" s="1"/>
  <c r="L36" i="1"/>
  <c r="S36" i="1"/>
  <c r="L37" i="1"/>
  <c r="S37" i="1"/>
  <c r="L38" i="1"/>
  <c r="S38" i="1"/>
  <c r="L39" i="1"/>
  <c r="S39" i="1"/>
  <c r="L40" i="1"/>
  <c r="S40" i="1"/>
  <c r="L41" i="1"/>
  <c r="S41" i="1"/>
  <c r="L42" i="1"/>
  <c r="S42" i="1"/>
  <c r="L43" i="1"/>
  <c r="S43" i="1"/>
  <c r="L44" i="1"/>
  <c r="S44" i="1"/>
  <c r="L45" i="1"/>
  <c r="S45" i="1"/>
  <c r="O32" i="1" l="1"/>
  <c r="O33" i="1" s="1"/>
  <c r="K12" i="1"/>
  <c r="Q18" i="1"/>
  <c r="K36" i="1"/>
  <c r="K28" i="1"/>
  <c r="K22" i="1"/>
  <c r="K44" i="1"/>
  <c r="K42" i="1"/>
  <c r="K24" i="1"/>
  <c r="K20" i="1"/>
  <c r="K40" i="1"/>
  <c r="Q32" i="1"/>
  <c r="Q33" i="1" s="1"/>
  <c r="K38" i="1"/>
  <c r="W18" i="1"/>
  <c r="W26" i="1" s="1"/>
  <c r="W30" i="1" s="1"/>
  <c r="W31" i="1" s="1"/>
  <c r="L29" i="1"/>
  <c r="O26" i="1"/>
  <c r="O30" i="1" s="1"/>
  <c r="O31" i="1" s="1"/>
  <c r="L17" i="1"/>
  <c r="R18" i="1"/>
  <c r="R26" i="1" s="1"/>
  <c r="R30" i="1" s="1"/>
  <c r="R31" i="1" s="1"/>
  <c r="P18" i="1"/>
  <c r="P26" i="1" s="1"/>
  <c r="P30" i="1" s="1"/>
  <c r="P31" i="1" s="1"/>
  <c r="N18" i="1"/>
  <c r="N26" i="1" s="1"/>
  <c r="N30" i="1" s="1"/>
  <c r="N31" i="1" s="1"/>
  <c r="K45" i="1"/>
  <c r="K43" i="1"/>
  <c r="K41" i="1"/>
  <c r="K39" i="1"/>
  <c r="K37" i="1"/>
  <c r="Y32" i="1"/>
  <c r="Y33" i="1" s="1"/>
  <c r="U32" i="1"/>
  <c r="U33" i="1" s="1"/>
  <c r="K27" i="1"/>
  <c r="K23" i="1"/>
  <c r="K21" i="1"/>
  <c r="K15" i="1"/>
  <c r="K13" i="1"/>
  <c r="S11" i="1"/>
  <c r="K9" i="1"/>
  <c r="K7" i="1"/>
  <c r="K5" i="1"/>
  <c r="S35" i="1"/>
  <c r="M19" i="1"/>
  <c r="L35" i="1"/>
  <c r="K35" i="1" s="1"/>
  <c r="Y26" i="1"/>
  <c r="Y30" i="1" s="1"/>
  <c r="Y31" i="1" s="1"/>
  <c r="U26" i="1"/>
  <c r="U30" i="1" s="1"/>
  <c r="U31" i="1" s="1"/>
  <c r="Q26" i="1"/>
  <c r="Q30" i="1" s="1"/>
  <c r="Q31" i="1" s="1"/>
  <c r="S25" i="1"/>
  <c r="S19" i="1"/>
  <c r="S17" i="1"/>
  <c r="S29" i="1"/>
  <c r="K29" i="1" s="1"/>
  <c r="R32" i="1"/>
  <c r="R33" i="1" s="1"/>
  <c r="X18" i="1"/>
  <c r="X26" i="1" s="1"/>
  <c r="X30" i="1" s="1"/>
  <c r="X31" i="1" s="1"/>
  <c r="V18" i="1"/>
  <c r="V26" i="1" s="1"/>
  <c r="V30" i="1" s="1"/>
  <c r="V31" i="1" s="1"/>
  <c r="L11" i="1"/>
  <c r="T18" i="1"/>
  <c r="W32" i="1" l="1"/>
  <c r="W33" i="1" s="1"/>
  <c r="L18" i="1"/>
  <c r="N32" i="1"/>
  <c r="N33" i="1" s="1"/>
  <c r="K11" i="1"/>
  <c r="P32" i="1"/>
  <c r="P33" i="1" s="1"/>
  <c r="K17" i="1"/>
  <c r="T26" i="1"/>
  <c r="S18" i="1"/>
  <c r="K18" i="1" s="1"/>
  <c r="V32" i="1"/>
  <c r="V33" i="1" s="1"/>
  <c r="M25" i="1"/>
  <c r="L19" i="1"/>
  <c r="K19" i="1" s="1"/>
  <c r="T32" i="1"/>
  <c r="X32" i="1"/>
  <c r="X33" i="1" s="1"/>
  <c r="S32" i="1" l="1"/>
  <c r="T33" i="1"/>
  <c r="S33" i="1" s="1"/>
  <c r="M32" i="1"/>
  <c r="L25" i="1"/>
  <c r="K25" i="1" s="1"/>
  <c r="M26" i="1"/>
  <c r="T30" i="1"/>
  <c r="S26" i="1"/>
  <c r="L32" i="1" l="1"/>
  <c r="K32" i="1" s="1"/>
  <c r="M33" i="1"/>
  <c r="L33" i="1" s="1"/>
  <c r="K33" i="1" s="1"/>
  <c r="S30" i="1"/>
  <c r="T31" i="1"/>
  <c r="S31" i="1" s="1"/>
  <c r="L26" i="1"/>
  <c r="K26" i="1" s="1"/>
  <c r="M30" i="1"/>
  <c r="L30" i="1" l="1"/>
  <c r="K30" i="1" s="1"/>
  <c r="M31" i="1"/>
  <c r="L31" i="1" s="1"/>
  <c r="K31" i="1" s="1"/>
</calcChain>
</file>

<file path=xl/sharedStrings.xml><?xml version="1.0" encoding="utf-8"?>
<sst xmlns="http://schemas.openxmlformats.org/spreadsheetml/2006/main" count="213" uniqueCount="117">
  <si>
    <t>見積評価損</t>
  </si>
  <si>
    <t>販売差益②</t>
  </si>
  <si>
    <t>テナント変動</t>
  </si>
  <si>
    <t>販売代行料</t>
  </si>
  <si>
    <t>ＤＬ宣伝変動費</t>
  </si>
  <si>
    <t>クレジット手数料</t>
  </si>
  <si>
    <t>計</t>
  </si>
  <si>
    <t>限界利益</t>
  </si>
  <si>
    <t>人件費</t>
  </si>
  <si>
    <t>テナント固定費</t>
  </si>
  <si>
    <t>店頭経費</t>
  </si>
  <si>
    <t>減価償却費</t>
  </si>
  <si>
    <t>金利</t>
  </si>
  <si>
    <t>その他</t>
  </si>
  <si>
    <t>店舗利益</t>
  </si>
  <si>
    <t>経常利益</t>
  </si>
  <si>
    <t>貢献度利益</t>
  </si>
  <si>
    <t>損益分岐点</t>
  </si>
  <si>
    <t>分岐点差額</t>
  </si>
  <si>
    <t>ＦＡ給与</t>
    <rPh sb="2" eb="4">
      <t>キュウヨ</t>
    </rPh>
    <phoneticPr fontId="2"/>
  </si>
  <si>
    <t>ＦＡ賞与</t>
    <rPh sb="2" eb="4">
      <t>ショウヨ</t>
    </rPh>
    <phoneticPr fontId="2"/>
  </si>
  <si>
    <t>法定福利費</t>
    <rPh sb="0" eb="2">
      <t>ホウテイ</t>
    </rPh>
    <rPh sb="2" eb="4">
      <t>フクリ</t>
    </rPh>
    <rPh sb="4" eb="5">
      <t>ヒ</t>
    </rPh>
    <phoneticPr fontId="2"/>
  </si>
  <si>
    <t>厚生費</t>
    <rPh sb="0" eb="3">
      <t>コウセイヒ</t>
    </rPh>
    <phoneticPr fontId="2"/>
  </si>
  <si>
    <t>通勤費</t>
    <rPh sb="0" eb="2">
      <t>ツウキン</t>
    </rPh>
    <rPh sb="2" eb="3">
      <t>ヒ</t>
    </rPh>
    <phoneticPr fontId="2"/>
  </si>
  <si>
    <t>バックス変動</t>
    <rPh sb="4" eb="6">
      <t>ヘンドウ</t>
    </rPh>
    <phoneticPr fontId="1"/>
  </si>
  <si>
    <t>バックス固定</t>
    <rPh sb="4" eb="6">
      <t>コテイ</t>
    </rPh>
    <phoneticPr fontId="1"/>
  </si>
  <si>
    <t>バックス経費計</t>
    <rPh sb="4" eb="6">
      <t>ケイヒ</t>
    </rPh>
    <rPh sb="6" eb="7">
      <t>ケイ</t>
    </rPh>
    <phoneticPr fontId="1"/>
  </si>
  <si>
    <t>変動費</t>
    <rPh sb="0" eb="3">
      <t>ヘンドウヒ</t>
    </rPh>
    <phoneticPr fontId="1"/>
  </si>
  <si>
    <t>固定費</t>
    <rPh sb="0" eb="3">
      <t>コテイヒ</t>
    </rPh>
    <phoneticPr fontId="1"/>
  </si>
  <si>
    <t>上 期 計</t>
    <rPh sb="0" eb="3">
      <t>カミキ</t>
    </rPh>
    <rPh sb="4" eb="5">
      <t>ケイ</t>
    </rPh>
    <phoneticPr fontId="2"/>
  </si>
  <si>
    <t>下 期 計</t>
    <rPh sb="0" eb="3">
      <t>シモキ</t>
    </rPh>
    <rPh sb="4" eb="5">
      <t>ケイ</t>
    </rPh>
    <phoneticPr fontId="2"/>
  </si>
  <si>
    <t>人件費計</t>
    <rPh sb="0" eb="3">
      <t>ジンケンヒ</t>
    </rPh>
    <rPh sb="3" eb="4">
      <t>ケイ</t>
    </rPh>
    <phoneticPr fontId="1"/>
  </si>
  <si>
    <t>データ入力</t>
    <rPh sb="3" eb="5">
      <t>ニュウリョク</t>
    </rPh>
    <phoneticPr fontId="2"/>
  </si>
  <si>
    <t>データ出力</t>
    <rPh sb="3" eb="5">
      <t>シュツリョク</t>
    </rPh>
    <phoneticPr fontId="2"/>
  </si>
  <si>
    <t>Y</t>
    <phoneticPr fontId="2"/>
  </si>
  <si>
    <t>Y</t>
  </si>
  <si>
    <t>科目</t>
    <rPh sb="0" eb="2">
      <t>カモク</t>
    </rPh>
    <phoneticPr fontId="1"/>
  </si>
  <si>
    <t>店頭元上代売上</t>
    <phoneticPr fontId="2"/>
  </si>
  <si>
    <t>店頭売上</t>
    <phoneticPr fontId="2"/>
  </si>
  <si>
    <t>純売上</t>
    <phoneticPr fontId="2"/>
  </si>
  <si>
    <t>販売差益①</t>
    <phoneticPr fontId="2"/>
  </si>
  <si>
    <t>その他</t>
    <phoneticPr fontId="1"/>
  </si>
  <si>
    <t>年  計</t>
    <rPh sb="0" eb="1">
      <t>ネン</t>
    </rPh>
    <rPh sb="3" eb="4">
      <t>ケイ</t>
    </rPh>
    <phoneticPr fontId="2"/>
  </si>
  <si>
    <t>入力制御</t>
    <rPh sb="0" eb="2">
      <t>ニュウリョク</t>
    </rPh>
    <rPh sb="2" eb="4">
      <t>セイギョ</t>
    </rPh>
    <phoneticPr fontId="2"/>
  </si>
  <si>
    <t>費目コード</t>
    <rPh sb="0" eb="2">
      <t>ヒモク</t>
    </rPh>
    <phoneticPr fontId="1"/>
  </si>
  <si>
    <t>その他人件費①</t>
    <rPh sb="2" eb="3">
      <t>タ</t>
    </rPh>
    <rPh sb="3" eb="6">
      <t>ジンケンヒ</t>
    </rPh>
    <phoneticPr fontId="1"/>
  </si>
  <si>
    <t>その他人件費②</t>
    <rPh sb="2" eb="3">
      <t>タ</t>
    </rPh>
    <rPh sb="3" eb="6">
      <t>ジンケンヒ</t>
    </rPh>
    <phoneticPr fontId="1"/>
  </si>
  <si>
    <t>その他人件費③</t>
    <rPh sb="2" eb="3">
      <t>タ</t>
    </rPh>
    <rPh sb="3" eb="6">
      <t>ジンケンヒ</t>
    </rPh>
    <phoneticPr fontId="1"/>
  </si>
  <si>
    <t>その他人件費④</t>
    <rPh sb="2" eb="3">
      <t>タ</t>
    </rPh>
    <rPh sb="3" eb="6">
      <t>ジンケンヒ</t>
    </rPh>
    <phoneticPr fontId="1"/>
  </si>
  <si>
    <t>その他人件費⑤</t>
    <rPh sb="2" eb="3">
      <t>タ</t>
    </rPh>
    <rPh sb="3" eb="5">
      <t>ジンケン</t>
    </rPh>
    <rPh sb="5" eb="6">
      <t>ヒ</t>
    </rPh>
    <phoneticPr fontId="2"/>
  </si>
  <si>
    <t>マスタチェック</t>
    <phoneticPr fontId="2"/>
  </si>
  <si>
    <t>SH0010</t>
    <phoneticPr fontId="1"/>
  </si>
  <si>
    <t>SH0020</t>
    <phoneticPr fontId="1"/>
  </si>
  <si>
    <t>SH0040</t>
    <phoneticPr fontId="1"/>
  </si>
  <si>
    <t>SH0050</t>
    <phoneticPr fontId="1"/>
  </si>
  <si>
    <t>SH0070</t>
    <phoneticPr fontId="1"/>
  </si>
  <si>
    <t>SH0080</t>
    <phoneticPr fontId="1"/>
  </si>
  <si>
    <t>SH0090</t>
    <phoneticPr fontId="1"/>
  </si>
  <si>
    <t>SH0100</t>
    <phoneticPr fontId="1"/>
  </si>
  <si>
    <t>SH0110</t>
    <phoneticPr fontId="1"/>
  </si>
  <si>
    <t>SH0120</t>
    <phoneticPr fontId="1"/>
  </si>
  <si>
    <t>SH0130</t>
    <phoneticPr fontId="1"/>
  </si>
  <si>
    <t>SH0140</t>
    <phoneticPr fontId="1"/>
  </si>
  <si>
    <t>SH0150</t>
    <phoneticPr fontId="1"/>
  </si>
  <si>
    <t>SH0160</t>
    <phoneticPr fontId="1"/>
  </si>
  <si>
    <t>SH0170</t>
    <phoneticPr fontId="1"/>
  </si>
  <si>
    <t>SH0180</t>
    <phoneticPr fontId="1"/>
  </si>
  <si>
    <t>SH0190</t>
    <phoneticPr fontId="1"/>
  </si>
  <si>
    <t>SH0200</t>
    <phoneticPr fontId="1"/>
  </si>
  <si>
    <t>SH0210</t>
    <phoneticPr fontId="1"/>
  </si>
  <si>
    <t>SH0220</t>
    <phoneticPr fontId="1"/>
  </si>
  <si>
    <t>SH0230</t>
    <phoneticPr fontId="1"/>
  </si>
  <si>
    <t>SH0240</t>
    <phoneticPr fontId="1"/>
  </si>
  <si>
    <t>SH0250</t>
    <phoneticPr fontId="1"/>
  </si>
  <si>
    <t>SH0260</t>
    <phoneticPr fontId="1"/>
  </si>
  <si>
    <t>SH0270</t>
    <phoneticPr fontId="1"/>
  </si>
  <si>
    <t>SH0060</t>
    <phoneticPr fontId="1"/>
  </si>
  <si>
    <t>SH0280</t>
    <phoneticPr fontId="1"/>
  </si>
  <si>
    <t>SH0290</t>
    <phoneticPr fontId="1"/>
  </si>
  <si>
    <t>SH0300</t>
    <phoneticPr fontId="1"/>
  </si>
  <si>
    <t>SH0310</t>
    <phoneticPr fontId="1"/>
  </si>
  <si>
    <t>SH0320</t>
    <phoneticPr fontId="1"/>
  </si>
  <si>
    <t>SH0330</t>
    <phoneticPr fontId="1"/>
  </si>
  <si>
    <t>SH0340</t>
    <phoneticPr fontId="1"/>
  </si>
  <si>
    <t>SH0350</t>
    <phoneticPr fontId="1"/>
  </si>
  <si>
    <t>SH0360</t>
    <phoneticPr fontId="1"/>
  </si>
  <si>
    <t>SH0370</t>
    <phoneticPr fontId="1"/>
  </si>
  <si>
    <t>企画Ｒ</t>
    <rPh sb="0" eb="2">
      <t>キカク</t>
    </rPh>
    <phoneticPr fontId="1"/>
  </si>
  <si>
    <t>SH0030</t>
    <phoneticPr fontId="1"/>
  </si>
  <si>
    <t>Y</t>
    <phoneticPr fontId="1"/>
  </si>
  <si>
    <t>4 月</t>
    <phoneticPr fontId="2"/>
  </si>
  <si>
    <t>6 月</t>
    <phoneticPr fontId="4"/>
  </si>
  <si>
    <t>5 月</t>
    <phoneticPr fontId="4"/>
  </si>
  <si>
    <t>7 月</t>
    <phoneticPr fontId="4"/>
  </si>
  <si>
    <t>8 月</t>
    <phoneticPr fontId="4"/>
  </si>
  <si>
    <t>9 月</t>
    <phoneticPr fontId="4"/>
  </si>
  <si>
    <t>10 月</t>
    <phoneticPr fontId="2"/>
  </si>
  <si>
    <t>11 月</t>
    <phoneticPr fontId="4"/>
  </si>
  <si>
    <t>12 月</t>
    <phoneticPr fontId="4"/>
  </si>
  <si>
    <t>1 月</t>
    <phoneticPr fontId="4"/>
  </si>
  <si>
    <t>2 月</t>
    <phoneticPr fontId="4"/>
  </si>
  <si>
    <t>3 月</t>
    <phoneticPr fontId="4"/>
  </si>
  <si>
    <t>ファイル生成日</t>
    <rPh sb="4" eb="7">
      <t>セイセイビ</t>
    </rPh>
    <phoneticPr fontId="2"/>
  </si>
  <si>
    <t>アプリVer.</t>
    <phoneticPr fontId="2"/>
  </si>
  <si>
    <t>業務</t>
    <rPh sb="0" eb="2">
      <t>ギョウム</t>
    </rPh>
    <phoneticPr fontId="2"/>
  </si>
  <si>
    <t>業務名</t>
    <rPh sb="0" eb="2">
      <t>ギョウム</t>
    </rPh>
    <rPh sb="2" eb="3">
      <t>メイ</t>
    </rPh>
    <phoneticPr fontId="2"/>
  </si>
  <si>
    <t>年度</t>
    <rPh sb="0" eb="2">
      <t>ネンド</t>
    </rPh>
    <phoneticPr fontId="2"/>
  </si>
  <si>
    <t>会社</t>
    <rPh sb="0" eb="2">
      <t>カイシャ</t>
    </rPh>
    <phoneticPr fontId="2"/>
  </si>
  <si>
    <t>00000：キング（全社）</t>
    <rPh sb="10" eb="12">
      <t>ゼンシャ</t>
    </rPh>
    <phoneticPr fontId="2"/>
  </si>
  <si>
    <t>FY350</t>
    <phoneticPr fontId="2"/>
  </si>
  <si>
    <t>ショップ経費予算</t>
    <rPh sb="4" eb="6">
      <t>ケイヒ</t>
    </rPh>
    <rPh sb="6" eb="8">
      <t>ヨサン</t>
    </rPh>
    <phoneticPr fontId="2"/>
  </si>
  <si>
    <t>得意先</t>
    <rPh sb="0" eb="3">
      <t>トクイサキ</t>
    </rPh>
    <phoneticPr fontId="2"/>
  </si>
  <si>
    <t>109004：アヴェニュー　帯広店</t>
    <rPh sb="14" eb="16">
      <t>オビヒロ</t>
    </rPh>
    <rPh sb="16" eb="17">
      <t>ミセ</t>
    </rPh>
    <phoneticPr fontId="2"/>
  </si>
  <si>
    <t>経費率</t>
    <rPh sb="0" eb="3">
      <t>ケイヒリツ</t>
    </rPh>
    <phoneticPr fontId="7"/>
  </si>
  <si>
    <t>○○○○○○事業部,50%</t>
    <rPh sb="6" eb="9">
      <t>ジギョウブ</t>
    </rPh>
    <phoneticPr fontId="7"/>
  </si>
  <si>
    <t>△△△△△△事業部,30%</t>
    <rPh sb="6" eb="9">
      <t>ジギョウブ</t>
    </rPh>
    <phoneticPr fontId="7"/>
  </si>
  <si>
    <t>年月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</si>
</sst>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0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vertical="center" shrinkToFit="1"/>
    </xf>
    <xf numFmtId="0" fontId="0" fillId="0" borderId="0" xfId="0" applyAlignment="1">
      <alignment horizontal="right" vertical="center" shrinkToFit="1"/>
    </xf>
    <xf numFmtId="176" fontId="0" fillId="0" borderId="0" xfId="0" applyNumberFormat="1" applyAlignment="1">
      <alignment horizontal="right" vertical="center" shrinkToFi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38" fontId="3" fillId="2" borderId="1" xfId="1" applyFont="1" applyFill="1" applyBorder="1" applyAlignment="1" applyProtection="1">
      <alignment horizontal="center" vertical="center"/>
    </xf>
    <xf numFmtId="38" fontId="3" fillId="2" borderId="2" xfId="1" applyFont="1" applyFill="1" applyBorder="1" applyAlignment="1" applyProtection="1">
      <alignment horizontal="center" vertical="center"/>
    </xf>
    <xf numFmtId="38" fontId="3" fillId="2" borderId="3" xfId="1" applyFont="1" applyFill="1" applyBorder="1" applyAlignment="1" applyProtection="1">
      <alignment horizontal="center" vertical="center"/>
    </xf>
    <xf numFmtId="38" fontId="3" fillId="2" borderId="4" xfId="1" applyFont="1" applyFill="1" applyBorder="1" applyAlignment="1" applyProtection="1">
      <alignment horizontal="center" vertical="center"/>
    </xf>
    <xf numFmtId="0" fontId="5" fillId="0" borderId="0" xfId="0" applyFont="1" applyAlignment="1" applyProtection="1"/>
    <xf numFmtId="38" fontId="3" fillId="3" borderId="5" xfId="1" applyFont="1" applyFill="1" applyBorder="1" applyAlignment="1" applyProtection="1">
      <alignment vertical="center"/>
    </xf>
    <xf numFmtId="0" fontId="0" fillId="0" borderId="0" xfId="0" applyAlignment="1" applyProtection="1"/>
    <xf numFmtId="38" fontId="3" fillId="3" borderId="6" xfId="1" applyFont="1" applyFill="1" applyBorder="1" applyAlignment="1" applyProtection="1">
      <alignment vertical="center"/>
    </xf>
    <xf numFmtId="38" fontId="3" fillId="0" borderId="7" xfId="1" applyFont="1" applyFill="1" applyBorder="1" applyAlignment="1" applyProtection="1">
      <alignment horizontal="right" vertical="center"/>
      <protection locked="0"/>
    </xf>
    <xf numFmtId="38" fontId="3" fillId="0" borderId="8" xfId="1" applyFont="1" applyFill="1" applyBorder="1" applyAlignment="1" applyProtection="1">
      <alignment horizontal="right" vertical="center"/>
      <protection locked="0"/>
    </xf>
    <xf numFmtId="38" fontId="3" fillId="0" borderId="9" xfId="1" applyFont="1" applyFill="1" applyBorder="1" applyAlignment="1" applyProtection="1">
      <alignment horizontal="right" vertical="center"/>
      <protection locked="0"/>
    </xf>
    <xf numFmtId="38" fontId="3" fillId="0" borderId="10" xfId="1" applyFont="1" applyFill="1" applyBorder="1" applyAlignment="1" applyProtection="1">
      <alignment horizontal="right" vertical="center"/>
      <protection locked="0"/>
    </xf>
    <xf numFmtId="38" fontId="3" fillId="0" borderId="11" xfId="1" applyFont="1" applyFill="1" applyBorder="1" applyAlignment="1" applyProtection="1">
      <alignment horizontal="right" vertical="center"/>
      <protection locked="0"/>
    </xf>
    <xf numFmtId="38" fontId="3" fillId="4" borderId="7" xfId="1" applyFont="1" applyFill="1" applyBorder="1" applyAlignment="1" applyProtection="1">
      <alignment horizontal="right" vertical="center"/>
      <protection locked="0"/>
    </xf>
    <xf numFmtId="38" fontId="3" fillId="4" borderId="8" xfId="1" applyFont="1" applyFill="1" applyBorder="1" applyAlignment="1" applyProtection="1">
      <alignment horizontal="right" vertical="center"/>
      <protection locked="0"/>
    </xf>
    <xf numFmtId="38" fontId="3" fillId="4" borderId="9" xfId="1" applyFont="1" applyFill="1" applyBorder="1" applyAlignment="1" applyProtection="1">
      <alignment horizontal="right" vertical="center"/>
      <protection locked="0"/>
    </xf>
    <xf numFmtId="38" fontId="3" fillId="4" borderId="10" xfId="1" applyFont="1" applyFill="1" applyBorder="1" applyAlignment="1" applyProtection="1">
      <alignment horizontal="right" vertical="center"/>
      <protection locked="0"/>
    </xf>
    <xf numFmtId="38" fontId="3" fillId="3" borderId="12" xfId="1" applyFont="1" applyFill="1" applyBorder="1" applyAlignment="1" applyProtection="1">
      <alignment vertical="center"/>
    </xf>
    <xf numFmtId="38" fontId="3" fillId="4" borderId="13" xfId="1" applyFont="1" applyFill="1" applyBorder="1" applyAlignment="1" applyProtection="1">
      <alignment horizontal="right" vertical="center"/>
      <protection locked="0"/>
    </xf>
    <xf numFmtId="38" fontId="3" fillId="4" borderId="14" xfId="1" applyFont="1" applyFill="1" applyBorder="1" applyAlignment="1" applyProtection="1">
      <alignment horizontal="right" vertical="center"/>
      <protection locked="0"/>
    </xf>
    <xf numFmtId="38" fontId="3" fillId="3" borderId="1" xfId="1" applyFont="1" applyFill="1" applyBorder="1" applyAlignment="1" applyProtection="1">
      <alignment vertical="center"/>
    </xf>
    <xf numFmtId="38" fontId="3" fillId="3" borderId="15" xfId="1" applyFont="1" applyFill="1" applyBorder="1" applyAlignment="1" applyProtection="1">
      <alignment vertical="center"/>
    </xf>
    <xf numFmtId="38" fontId="3" fillId="2" borderId="7" xfId="1" applyFont="1" applyFill="1" applyBorder="1" applyAlignment="1" applyProtection="1">
      <alignment horizontal="right" vertical="center"/>
      <protection locked="0"/>
    </xf>
    <xf numFmtId="38" fontId="3" fillId="2" borderId="8" xfId="1" applyFont="1" applyFill="1" applyBorder="1" applyAlignment="1" applyProtection="1">
      <alignment horizontal="right" vertical="center"/>
      <protection locked="0"/>
    </xf>
    <xf numFmtId="38" fontId="3" fillId="2" borderId="9" xfId="1" applyFont="1" applyFill="1" applyBorder="1" applyAlignment="1" applyProtection="1">
      <alignment horizontal="right" vertical="center"/>
      <protection locked="0"/>
    </xf>
    <xf numFmtId="38" fontId="3" fillId="2" borderId="10" xfId="1" applyFont="1" applyFill="1" applyBorder="1" applyAlignment="1" applyProtection="1">
      <alignment horizontal="right" vertical="center"/>
      <protection locked="0"/>
    </xf>
    <xf numFmtId="38" fontId="3" fillId="2" borderId="16" xfId="1" applyFont="1" applyFill="1" applyBorder="1" applyAlignment="1" applyProtection="1">
      <alignment horizontal="right" vertical="center"/>
      <protection locked="0"/>
    </xf>
    <xf numFmtId="38" fontId="3" fillId="2" borderId="17" xfId="1" applyFont="1" applyFill="1" applyBorder="1" applyAlignment="1" applyProtection="1">
      <alignment horizontal="right" vertical="center"/>
      <protection locked="0"/>
    </xf>
    <xf numFmtId="38" fontId="3" fillId="2" borderId="18" xfId="1" applyFont="1" applyFill="1" applyBorder="1" applyAlignment="1" applyProtection="1">
      <alignment horizontal="right" vertical="center"/>
      <protection locked="0"/>
    </xf>
    <xf numFmtId="38" fontId="3" fillId="2" borderId="19" xfId="1" applyFont="1" applyFill="1" applyBorder="1" applyAlignment="1" applyProtection="1">
      <alignment horizontal="right" vertical="center"/>
      <protection locked="0"/>
    </xf>
    <xf numFmtId="38" fontId="3" fillId="2" borderId="20" xfId="1" applyFont="1" applyFill="1" applyBorder="1" applyAlignment="1" applyProtection="1">
      <alignment horizontal="right" vertical="center"/>
      <protection locked="0"/>
    </xf>
    <xf numFmtId="38" fontId="3" fillId="2" borderId="21" xfId="1" applyFont="1" applyFill="1" applyBorder="1" applyAlignment="1" applyProtection="1">
      <alignment horizontal="right" vertical="center"/>
      <protection locked="0"/>
    </xf>
    <xf numFmtId="0" fontId="3" fillId="0" borderId="22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vertical="center" shrinkToFit="1"/>
    </xf>
    <xf numFmtId="0" fontId="6" fillId="2" borderId="1" xfId="0" applyFont="1" applyFill="1" applyBorder="1" applyAlignment="1">
      <alignment vertical="center"/>
    </xf>
    <xf numFmtId="38" fontId="3" fillId="2" borderId="13" xfId="1" applyFont="1" applyFill="1" applyBorder="1" applyAlignment="1" applyProtection="1">
      <alignment horizontal="right" vertical="center"/>
      <protection locked="0"/>
    </xf>
    <xf numFmtId="38" fontId="3" fillId="2" borderId="14" xfId="1" applyFont="1" applyFill="1" applyBorder="1" applyAlignment="1" applyProtection="1">
      <alignment horizontal="right" vertical="center"/>
      <protection locked="0"/>
    </xf>
    <xf numFmtId="38" fontId="3" fillId="2" borderId="23" xfId="1" applyFont="1" applyFill="1" applyBorder="1" applyAlignment="1" applyProtection="1">
      <alignment horizontal="right" vertical="center"/>
      <protection locked="0"/>
    </xf>
    <xf numFmtId="38" fontId="3" fillId="2" borderId="24" xfId="1" applyFont="1" applyFill="1" applyBorder="1" applyAlignment="1" applyProtection="1">
      <alignment horizontal="right" vertical="center"/>
      <protection locked="0"/>
    </xf>
    <xf numFmtId="38" fontId="3" fillId="3" borderId="25" xfId="1" applyFont="1" applyFill="1" applyBorder="1" applyAlignment="1" applyProtection="1">
      <alignment vertical="center"/>
    </xf>
    <xf numFmtId="38" fontId="3" fillId="2" borderId="26" xfId="1" applyFont="1" applyFill="1" applyBorder="1" applyAlignment="1" applyProtection="1">
      <alignment horizontal="right" vertical="center"/>
      <protection locked="0"/>
    </xf>
    <xf numFmtId="38" fontId="3" fillId="2" borderId="27" xfId="1" applyFont="1" applyFill="1" applyBorder="1" applyAlignment="1" applyProtection="1">
      <alignment horizontal="right" vertical="center"/>
      <protection locked="0"/>
    </xf>
    <xf numFmtId="38" fontId="3" fillId="2" borderId="28" xfId="1" applyFont="1" applyFill="1" applyBorder="1" applyAlignment="1" applyProtection="1">
      <alignment horizontal="right" vertical="center"/>
      <protection locked="0"/>
    </xf>
    <xf numFmtId="38" fontId="3" fillId="2" borderId="29" xfId="1" applyFont="1" applyFill="1" applyBorder="1" applyAlignment="1" applyProtection="1">
      <alignment horizontal="right" vertical="center"/>
      <protection locked="0"/>
    </xf>
    <xf numFmtId="0" fontId="3" fillId="0" borderId="30" xfId="0" applyFont="1" applyFill="1" applyBorder="1" applyAlignment="1">
      <alignment horizontal="center" vertical="center"/>
    </xf>
    <xf numFmtId="49" fontId="3" fillId="0" borderId="6" xfId="1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right" vertical="center"/>
    </xf>
    <xf numFmtId="0" fontId="0" fillId="0" borderId="6" xfId="0" applyFill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right" vertical="center"/>
    </xf>
    <xf numFmtId="49" fontId="3" fillId="0" borderId="31" xfId="1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center" vertical="center"/>
    </xf>
    <xf numFmtId="49" fontId="3" fillId="0" borderId="32" xfId="1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49" fontId="6" fillId="0" borderId="1" xfId="1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38" fontId="3" fillId="3" borderId="4" xfId="1" applyFont="1" applyFill="1" applyBorder="1" applyAlignment="1" applyProtection="1">
      <alignment vertical="center"/>
    </xf>
    <xf numFmtId="38" fontId="3" fillId="2" borderId="33" xfId="1" applyFont="1" applyFill="1" applyBorder="1" applyAlignment="1" applyProtection="1">
      <alignment horizontal="right" vertical="center"/>
      <protection locked="0"/>
    </xf>
    <xf numFmtId="38" fontId="3" fillId="2" borderId="34" xfId="1" applyFont="1" applyFill="1" applyBorder="1" applyAlignment="1" applyProtection="1">
      <alignment horizontal="right" vertical="center"/>
      <protection locked="0"/>
    </xf>
    <xf numFmtId="0" fontId="3" fillId="2" borderId="7" xfId="1" applyNumberFormat="1" applyFont="1" applyFill="1" applyBorder="1" applyAlignment="1" applyProtection="1">
      <alignment horizontal="right" vertical="center"/>
      <protection locked="0"/>
    </xf>
    <xf numFmtId="0" fontId="3" fillId="2" borderId="10" xfId="1" applyNumberFormat="1" applyFont="1" applyFill="1" applyBorder="1" applyAlignment="1" applyProtection="1">
      <alignment horizontal="right" vertical="center"/>
      <protection locked="0"/>
    </xf>
    <xf numFmtId="38" fontId="3" fillId="3" borderId="5" xfId="1" applyFont="1" applyFill="1" applyBorder="1" applyAlignment="1" applyProtection="1">
      <alignment horizontal="right" vertical="center"/>
    </xf>
    <xf numFmtId="38" fontId="3" fillId="2" borderId="35" xfId="1" applyFont="1" applyFill="1" applyBorder="1" applyAlignment="1" applyProtection="1">
      <alignment horizontal="right" vertical="center"/>
    </xf>
    <xf numFmtId="38" fontId="3" fillId="2" borderId="21" xfId="1" applyFont="1" applyFill="1" applyBorder="1" applyAlignment="1" applyProtection="1">
      <alignment horizontal="right" vertical="center"/>
    </xf>
    <xf numFmtId="38" fontId="3" fillId="2" borderId="36" xfId="1" applyFont="1" applyFill="1" applyBorder="1" applyAlignment="1" applyProtection="1">
      <alignment horizontal="right" vertical="center"/>
    </xf>
    <xf numFmtId="38" fontId="3" fillId="3" borderId="1" xfId="1" applyFont="1" applyFill="1" applyBorder="1" applyAlignment="1" applyProtection="1">
      <alignment horizontal="right" vertical="center"/>
    </xf>
    <xf numFmtId="38" fontId="3" fillId="3" borderId="15" xfId="1" applyFont="1" applyFill="1" applyBorder="1" applyAlignment="1" applyProtection="1">
      <alignment horizontal="right" vertical="center"/>
    </xf>
    <xf numFmtId="38" fontId="3" fillId="3" borderId="2" xfId="1" applyFont="1" applyFill="1" applyBorder="1" applyAlignment="1" applyProtection="1">
      <alignment horizontal="right" vertical="center"/>
    </xf>
    <xf numFmtId="38" fontId="3" fillId="3" borderId="37" xfId="1" applyFont="1" applyFill="1" applyBorder="1" applyAlignment="1" applyProtection="1">
      <alignment horizontal="right" vertical="center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2" borderId="3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49" fontId="3" fillId="2" borderId="38" xfId="0" quotePrefix="1" applyNumberFormat="1" applyFont="1" applyFill="1" applyBorder="1" applyAlignment="1">
      <alignment horizontal="center" vertical="center"/>
    </xf>
    <xf numFmtId="49" fontId="3" fillId="2" borderId="37" xfId="0" quotePrefix="1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top"/>
    </xf>
    <xf numFmtId="49" fontId="3" fillId="2" borderId="42" xfId="0" applyNumberFormat="1" applyFont="1" applyFill="1" applyBorder="1" applyAlignment="1">
      <alignment horizontal="center" vertical="top"/>
    </xf>
    <xf numFmtId="49" fontId="3" fillId="2" borderId="39" xfId="0" applyNumberFormat="1" applyFont="1" applyFill="1" applyBorder="1" applyAlignment="1">
      <alignment horizontal="center" vertical="top"/>
    </xf>
    <xf numFmtId="49" fontId="3" fillId="2" borderId="40" xfId="0" applyNumberFormat="1" applyFont="1" applyFill="1" applyBorder="1" applyAlignment="1">
      <alignment horizontal="center" vertical="top"/>
    </xf>
    <xf numFmtId="0" fontId="3" fillId="2" borderId="42" xfId="0" applyFont="1" applyFill="1" applyBorder="1" applyAlignment="1">
      <alignment horizontal="center" vertical="distributed" textRotation="255" shrinkToFit="1"/>
    </xf>
    <xf numFmtId="0" fontId="3" fillId="2" borderId="43" xfId="0" applyFont="1" applyFill="1" applyBorder="1" applyAlignment="1">
      <alignment horizontal="center" vertical="distributed" textRotation="255" shrinkToFit="1"/>
    </xf>
    <xf numFmtId="0" fontId="3" fillId="2" borderId="40" xfId="0" applyFont="1" applyFill="1" applyBorder="1" applyAlignment="1">
      <alignment horizontal="center" vertical="distributed" textRotation="255" shrinkToFit="1"/>
    </xf>
    <xf numFmtId="0" fontId="3" fillId="2" borderId="44" xfId="0" applyFont="1" applyFill="1" applyBorder="1" applyAlignment="1">
      <alignment horizontal="center" vertical="center" shrinkToFit="1"/>
    </xf>
    <xf numFmtId="0" fontId="3" fillId="2" borderId="37" xfId="0" applyFont="1" applyFill="1" applyBorder="1" applyAlignment="1">
      <alignment horizontal="center" vertical="distributed" textRotation="255" shrinkToFi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 applyProtection="1">
      <alignment vertical="center"/>
    </xf>
    <xf numFmtId="0" fontId="9" fillId="5" borderId="44" xfId="0" applyFont="1" applyFill="1" applyBorder="1" applyAlignment="1" applyProtection="1">
      <alignment horizontal="center" vertical="center"/>
      <protection hidden="1"/>
    </xf>
    <xf numFmtId="0" fontId="9" fillId="5" borderId="37" xfId="0" applyFont="1" applyFill="1" applyBorder="1" applyAlignment="1" applyProtection="1">
      <alignment horizontal="center" vertical="center"/>
      <protection hidden="1"/>
    </xf>
    <xf numFmtId="0" fontId="9" fillId="5" borderId="1" xfId="0" applyFont="1" applyFill="1" applyBorder="1" applyAlignment="1" applyProtection="1">
      <alignment horizontal="center" vertical="center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0" fontId="8" fillId="0" borderId="1" xfId="0" applyFont="1" applyFill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Y46"/>
  <sheetViews>
    <sheetView tabSelected="1" zoomScale="115" zoomScaleNormal="115" workbookViewId="0">
      <selection activeCell="E2" sqref="E2"/>
    </sheetView>
  </sheetViews>
  <sheetFormatPr defaultColWidth="9" defaultRowHeight="13.5" x14ac:dyDescent="0.15"/>
  <cols>
    <col min="1" max="2" width="9" style="4"/>
    <col min="3" max="3" width="8" style="16" bestFit="1" customWidth="1"/>
    <col min="4" max="4" width="9.375" style="16" customWidth="1"/>
    <col min="5" max="6" width="8" style="16" bestFit="1" customWidth="1"/>
    <col min="7" max="7" width="7.75" style="67" bestFit="1" customWidth="1"/>
    <col min="8" max="8" width="2.125" style="9" customWidth="1"/>
    <col min="9" max="9" width="3.625" style="9" customWidth="1"/>
    <col min="10" max="10" width="10.375" style="8" customWidth="1"/>
    <col min="11" max="25" width="7.375" style="16" customWidth="1"/>
    <col min="26" max="26" width="9" style="1"/>
    <col min="27" max="29" width="9" style="3"/>
    <col min="30" max="30" width="9" style="1"/>
    <col min="31" max="31" width="9" style="2"/>
    <col min="32" max="32" width="9.625" style="1" customWidth="1"/>
    <col min="33" max="33" width="9" style="2"/>
    <col min="34" max="34" width="9" style="1"/>
    <col min="35" max="37" width="9" style="3"/>
    <col min="38" max="38" width="9" style="1"/>
    <col min="39" max="39" width="9" style="2"/>
    <col min="40" max="40" width="9" style="1"/>
    <col min="41" max="41" width="9" style="2"/>
    <col min="42" max="42" width="9" style="1"/>
    <col min="43" max="45" width="9" style="3"/>
    <col min="46" max="46" width="9" style="1"/>
    <col min="47" max="47" width="9" style="2"/>
    <col min="48" max="48" width="9" style="1"/>
    <col min="49" max="49" width="9" style="2"/>
    <col min="50" max="50" width="9" style="1"/>
    <col min="51" max="53" width="9" style="3"/>
    <col min="54" max="54" width="9" style="1"/>
    <col min="55" max="55" width="9" style="2"/>
    <col min="56" max="56" width="9.625" style="1" customWidth="1"/>
    <col min="57" max="57" width="5.375" style="2" customWidth="1"/>
    <col min="58" max="58" width="9.625" style="1" customWidth="1"/>
    <col min="59" max="59" width="5.375" style="3" customWidth="1"/>
    <col min="60" max="60" width="9.625" style="3" customWidth="1"/>
    <col min="61" max="61" width="5.375" style="3" customWidth="1"/>
    <col min="62" max="62" width="9.625" style="1" customWidth="1"/>
    <col min="63" max="63" width="5.375" style="2" customWidth="1"/>
    <col min="64" max="64" width="9.625" style="1" customWidth="1"/>
    <col min="65" max="65" width="5.375" style="2" customWidth="1"/>
    <col min="66" max="66" width="9.625" style="1" customWidth="1"/>
    <col min="67" max="67" width="5.375" style="3" customWidth="1"/>
    <col min="68" max="68" width="9.625" style="3" customWidth="1"/>
    <col min="69" max="69" width="5.375" style="3" customWidth="1"/>
    <col min="70" max="70" width="9.625" style="1" customWidth="1"/>
    <col min="71" max="71" width="5.375" style="2" customWidth="1"/>
    <col min="72" max="72" width="9.625" style="1" customWidth="1"/>
    <col min="73" max="73" width="5.375" style="2" customWidth="1"/>
    <col min="74" max="74" width="9.625" style="1" customWidth="1"/>
    <col min="75" max="75" width="5.375" style="3" customWidth="1"/>
    <col min="76" max="76" width="9.625" style="3" customWidth="1"/>
    <col min="77" max="77" width="5.375" style="3" customWidth="1"/>
    <col min="78" max="78" width="9.625" style="1" customWidth="1"/>
    <col min="79" max="79" width="5.375" style="2" customWidth="1"/>
    <col min="80" max="80" width="9.625" style="1" customWidth="1"/>
    <col min="81" max="81" width="5.375" style="2" customWidth="1"/>
    <col min="82" max="82" width="9.625" style="1" customWidth="1"/>
    <col min="83" max="83" width="5.375" style="3" customWidth="1"/>
    <col min="84" max="84" width="9.625" style="3" customWidth="1"/>
    <col min="85" max="85" width="5.375" style="3" customWidth="1"/>
    <col min="86" max="86" width="9.625" style="1" customWidth="1"/>
    <col min="87" max="87" width="5.375" style="2" customWidth="1"/>
    <col min="88" max="88" width="9.625" style="1" customWidth="1"/>
    <col min="89" max="89" width="5.375" style="2" customWidth="1"/>
    <col min="90" max="90" width="9.625" style="1" customWidth="1"/>
    <col min="91" max="91" width="5.375" style="3" customWidth="1"/>
    <col min="92" max="92" width="9.625" style="3" customWidth="1"/>
    <col min="93" max="93" width="5.375" style="3" customWidth="1"/>
    <col min="94" max="94" width="9.625" style="1" customWidth="1"/>
    <col min="95" max="95" width="5.375" style="2" customWidth="1"/>
    <col min="96" max="96" width="9.625" style="1" customWidth="1"/>
    <col min="97" max="97" width="5.375" style="2" customWidth="1"/>
    <col min="98" max="98" width="9.625" style="1" customWidth="1"/>
    <col min="99" max="99" width="5.375" style="3" customWidth="1"/>
    <col min="100" max="100" width="9.625" style="3" customWidth="1"/>
    <col min="101" max="101" width="5.375" style="3" customWidth="1"/>
    <col min="102" max="102" width="9.625" style="1" customWidth="1"/>
    <col min="103" max="103" width="5.375" style="2" customWidth="1"/>
    <col min="104" max="16384" width="9" style="4"/>
  </cols>
  <sheetData>
    <row r="1" spans="1:26" ht="21" customHeight="1" x14ac:dyDescent="0.15">
      <c r="H1" s="101" t="str">
        <f>Settings!B4</f>
        <v>ショップ経費予算</v>
      </c>
    </row>
    <row r="2" spans="1:26" ht="21" customHeight="1" x14ac:dyDescent="0.15">
      <c r="H2" s="102" t="s">
        <v>116</v>
      </c>
      <c r="I2" s="103"/>
      <c r="J2" s="106">
        <f>Settings!B5</f>
        <v>2025</v>
      </c>
      <c r="L2" s="104" t="s">
        <v>111</v>
      </c>
      <c r="M2" s="105" t="str">
        <f>Settings!B7</f>
        <v>109004：アヴェニュー　帯広店</v>
      </c>
      <c r="N2" s="105"/>
      <c r="O2" s="105"/>
      <c r="P2" s="105"/>
      <c r="Q2" s="105"/>
    </row>
    <row r="3" spans="1:26" ht="3" customHeight="1" x14ac:dyDescent="0.15"/>
    <row r="4" spans="1:26" s="6" customFormat="1" x14ac:dyDescent="0.15">
      <c r="A4" s="65"/>
      <c r="B4" s="65"/>
      <c r="C4" s="66" t="s">
        <v>43</v>
      </c>
      <c r="D4" s="66" t="s">
        <v>50</v>
      </c>
      <c r="E4" s="66" t="s">
        <v>32</v>
      </c>
      <c r="F4" s="66" t="s">
        <v>33</v>
      </c>
      <c r="G4" s="66" t="s">
        <v>44</v>
      </c>
      <c r="H4" s="86" t="s">
        <v>36</v>
      </c>
      <c r="I4" s="86"/>
      <c r="J4" s="86"/>
      <c r="K4" s="10" t="s">
        <v>42</v>
      </c>
      <c r="L4" s="10" t="s">
        <v>29</v>
      </c>
      <c r="M4" s="11" t="s">
        <v>90</v>
      </c>
      <c r="N4" s="12" t="s">
        <v>92</v>
      </c>
      <c r="O4" s="12" t="s">
        <v>91</v>
      </c>
      <c r="P4" s="12" t="s">
        <v>93</v>
      </c>
      <c r="Q4" s="12" t="s">
        <v>94</v>
      </c>
      <c r="R4" s="13" t="s">
        <v>95</v>
      </c>
      <c r="S4" s="10" t="s">
        <v>30</v>
      </c>
      <c r="T4" s="11" t="s">
        <v>96</v>
      </c>
      <c r="U4" s="12" t="s">
        <v>97</v>
      </c>
      <c r="V4" s="12" t="s">
        <v>98</v>
      </c>
      <c r="W4" s="12" t="s">
        <v>99</v>
      </c>
      <c r="X4" s="12" t="s">
        <v>100</v>
      </c>
      <c r="Y4" s="13" t="s">
        <v>101</v>
      </c>
      <c r="Z4" s="14"/>
    </row>
    <row r="5" spans="1:26" s="6" customFormat="1" ht="14.25" customHeight="1" x14ac:dyDescent="0.15">
      <c r="A5" s="63"/>
      <c r="B5" s="63"/>
      <c r="C5" s="64"/>
      <c r="D5" s="64" t="s">
        <v>89</v>
      </c>
      <c r="E5" s="64" t="s">
        <v>89</v>
      </c>
      <c r="F5" s="64" t="s">
        <v>34</v>
      </c>
      <c r="G5" s="64" t="s">
        <v>51</v>
      </c>
      <c r="H5" s="85" t="s">
        <v>37</v>
      </c>
      <c r="I5" s="86"/>
      <c r="J5" s="86"/>
      <c r="K5" s="73">
        <f>L5+S5</f>
        <v>0</v>
      </c>
      <c r="L5" s="73">
        <f t="shared" ref="L5:L15" si="0">SUM(M5:R5)</f>
        <v>0</v>
      </c>
      <c r="M5" s="74"/>
      <c r="N5" s="75"/>
      <c r="O5" s="75"/>
      <c r="P5" s="75"/>
      <c r="Q5" s="75"/>
      <c r="R5" s="76"/>
      <c r="S5" s="73">
        <f t="shared" ref="S5:S33" si="1">SUM(T5:Y5)</f>
        <v>0</v>
      </c>
      <c r="T5" s="74"/>
      <c r="U5" s="75"/>
      <c r="V5" s="75"/>
      <c r="W5" s="75"/>
      <c r="X5" s="75"/>
      <c r="Y5" s="76"/>
    </row>
    <row r="6" spans="1:26" ht="14.25" customHeight="1" x14ac:dyDescent="0.15">
      <c r="A6" s="58"/>
      <c r="B6" s="58"/>
      <c r="C6" s="57"/>
      <c r="D6" s="57" t="s">
        <v>34</v>
      </c>
      <c r="E6" s="57" t="s">
        <v>89</v>
      </c>
      <c r="F6" s="57" t="s">
        <v>34</v>
      </c>
      <c r="G6" s="64" t="s">
        <v>52</v>
      </c>
      <c r="H6" s="85" t="s">
        <v>38</v>
      </c>
      <c r="I6" s="86"/>
      <c r="J6" s="86"/>
      <c r="K6" s="17">
        <f t="shared" ref="K6:K33" si="2">L6+S6</f>
        <v>0</v>
      </c>
      <c r="L6" s="17">
        <f t="shared" si="0"/>
        <v>0</v>
      </c>
      <c r="M6" s="36"/>
      <c r="N6" s="37"/>
      <c r="O6" s="37"/>
      <c r="P6" s="37"/>
      <c r="Q6" s="37"/>
      <c r="R6" s="38"/>
      <c r="S6" s="17">
        <f t="shared" si="1"/>
        <v>0</v>
      </c>
      <c r="T6" s="36"/>
      <c r="U6" s="39"/>
      <c r="V6" s="39"/>
      <c r="W6" s="39"/>
      <c r="X6" s="39"/>
      <c r="Y6" s="40"/>
    </row>
    <row r="7" spans="1:26" ht="14.25" customHeight="1" x14ac:dyDescent="0.15">
      <c r="A7" s="58"/>
      <c r="B7" s="58"/>
      <c r="C7" s="57"/>
      <c r="D7" s="57" t="s">
        <v>34</v>
      </c>
      <c r="E7" s="57" t="s">
        <v>89</v>
      </c>
      <c r="F7" s="57" t="s">
        <v>34</v>
      </c>
      <c r="G7" s="64" t="s">
        <v>88</v>
      </c>
      <c r="H7" s="85" t="s">
        <v>39</v>
      </c>
      <c r="I7" s="86"/>
      <c r="J7" s="86"/>
      <c r="K7" s="17">
        <f t="shared" si="2"/>
        <v>0</v>
      </c>
      <c r="L7" s="17">
        <f t="shared" si="0"/>
        <v>0</v>
      </c>
      <c r="M7" s="32"/>
      <c r="N7" s="33"/>
      <c r="O7" s="33"/>
      <c r="P7" s="33"/>
      <c r="Q7" s="33"/>
      <c r="R7" s="33"/>
      <c r="S7" s="17">
        <f t="shared" si="1"/>
        <v>0</v>
      </c>
      <c r="T7" s="39"/>
      <c r="U7" s="39"/>
      <c r="V7" s="39"/>
      <c r="W7" s="39"/>
      <c r="X7" s="39"/>
      <c r="Y7" s="40"/>
    </row>
    <row r="8" spans="1:26" ht="14.25" customHeight="1" x14ac:dyDescent="0.15">
      <c r="A8" s="58"/>
      <c r="B8" s="58"/>
      <c r="C8" s="57"/>
      <c r="D8" s="57" t="s">
        <v>34</v>
      </c>
      <c r="E8" s="57" t="s">
        <v>89</v>
      </c>
      <c r="F8" s="57" t="s">
        <v>34</v>
      </c>
      <c r="G8" s="64" t="s">
        <v>53</v>
      </c>
      <c r="H8" s="85" t="s">
        <v>40</v>
      </c>
      <c r="I8" s="86"/>
      <c r="J8" s="86"/>
      <c r="K8" s="17">
        <f t="shared" si="2"/>
        <v>0</v>
      </c>
      <c r="L8" s="17">
        <f t="shared" si="0"/>
        <v>0</v>
      </c>
      <c r="M8" s="32"/>
      <c r="N8" s="32"/>
      <c r="O8" s="32"/>
      <c r="P8" s="32"/>
      <c r="Q8" s="33"/>
      <c r="R8" s="34"/>
      <c r="S8" s="17">
        <f t="shared" si="1"/>
        <v>0</v>
      </c>
      <c r="T8" s="32"/>
      <c r="U8" s="33"/>
      <c r="V8" s="33"/>
      <c r="W8" s="33"/>
      <c r="X8" s="33"/>
      <c r="Y8" s="35"/>
    </row>
    <row r="9" spans="1:26" s="7" customFormat="1" ht="14.25" customHeight="1" x14ac:dyDescent="0.15">
      <c r="A9" s="59"/>
      <c r="B9" s="59"/>
      <c r="C9" s="57"/>
      <c r="D9" s="57" t="s">
        <v>34</v>
      </c>
      <c r="E9" s="57" t="s">
        <v>89</v>
      </c>
      <c r="F9" s="57" t="s">
        <v>34</v>
      </c>
      <c r="G9" s="64" t="s">
        <v>54</v>
      </c>
      <c r="H9" s="85" t="s">
        <v>87</v>
      </c>
      <c r="I9" s="86"/>
      <c r="J9" s="86"/>
      <c r="K9" s="17">
        <f t="shared" si="2"/>
        <v>0</v>
      </c>
      <c r="L9" s="17">
        <f t="shared" si="0"/>
        <v>0</v>
      </c>
      <c r="M9" s="32"/>
      <c r="N9" s="33"/>
      <c r="O9" s="33"/>
      <c r="P9" s="33"/>
      <c r="Q9" s="33"/>
      <c r="R9" s="33"/>
      <c r="S9" s="17">
        <f t="shared" si="1"/>
        <v>0</v>
      </c>
      <c r="T9" s="32"/>
      <c r="U9" s="33"/>
      <c r="V9" s="33"/>
      <c r="W9" s="33"/>
      <c r="X9" s="33"/>
      <c r="Y9" s="35"/>
    </row>
    <row r="10" spans="1:26" ht="14.25" customHeight="1" x14ac:dyDescent="0.15">
      <c r="A10" s="58"/>
      <c r="B10" s="58"/>
      <c r="C10" s="57"/>
      <c r="D10" s="57" t="s">
        <v>34</v>
      </c>
      <c r="E10" s="57" t="s">
        <v>89</v>
      </c>
      <c r="F10" s="57" t="s">
        <v>34</v>
      </c>
      <c r="G10" s="64" t="s">
        <v>76</v>
      </c>
      <c r="H10" s="85" t="s">
        <v>0</v>
      </c>
      <c r="I10" s="86"/>
      <c r="J10" s="86"/>
      <c r="K10" s="17">
        <f t="shared" si="2"/>
        <v>0</v>
      </c>
      <c r="L10" s="17">
        <f t="shared" si="0"/>
        <v>0</v>
      </c>
      <c r="M10" s="32"/>
      <c r="N10" s="33"/>
      <c r="O10" s="33"/>
      <c r="P10" s="33"/>
      <c r="Q10" s="33"/>
      <c r="R10" s="33"/>
      <c r="S10" s="17">
        <f t="shared" si="1"/>
        <v>0</v>
      </c>
      <c r="T10" s="32"/>
      <c r="U10" s="33"/>
      <c r="V10" s="33"/>
      <c r="W10" s="33"/>
      <c r="X10" s="33"/>
      <c r="Y10" s="35"/>
    </row>
    <row r="11" spans="1:26" ht="14.25" customHeight="1" x14ac:dyDescent="0.15">
      <c r="A11" s="58"/>
      <c r="B11" s="58"/>
      <c r="C11" s="57"/>
      <c r="D11" s="57" t="s">
        <v>34</v>
      </c>
      <c r="E11" s="57"/>
      <c r="F11" s="57" t="s">
        <v>34</v>
      </c>
      <c r="G11" s="64" t="s">
        <v>55</v>
      </c>
      <c r="H11" s="85" t="s">
        <v>1</v>
      </c>
      <c r="I11" s="86"/>
      <c r="J11" s="86"/>
      <c r="K11" s="17">
        <f t="shared" si="2"/>
        <v>0</v>
      </c>
      <c r="L11" s="17">
        <f t="shared" si="0"/>
        <v>0</v>
      </c>
      <c r="M11" s="32">
        <f t="shared" ref="M11:R11" si="3">M8+M9+M10</f>
        <v>0</v>
      </c>
      <c r="N11" s="32">
        <f t="shared" si="3"/>
        <v>0</v>
      </c>
      <c r="O11" s="32">
        <f t="shared" si="3"/>
        <v>0</v>
      </c>
      <c r="P11" s="32">
        <f t="shared" si="3"/>
        <v>0</v>
      </c>
      <c r="Q11" s="32">
        <f t="shared" si="3"/>
        <v>0</v>
      </c>
      <c r="R11" s="32">
        <f t="shared" si="3"/>
        <v>0</v>
      </c>
      <c r="S11" s="17">
        <f t="shared" si="1"/>
        <v>0</v>
      </c>
      <c r="T11" s="32">
        <f t="shared" ref="T11:Y11" si="4">T8+T9+T10</f>
        <v>0</v>
      </c>
      <c r="U11" s="32">
        <f t="shared" si="4"/>
        <v>0</v>
      </c>
      <c r="V11" s="32">
        <f t="shared" si="4"/>
        <v>0</v>
      </c>
      <c r="W11" s="32">
        <f t="shared" si="4"/>
        <v>0</v>
      </c>
      <c r="X11" s="32">
        <f t="shared" si="4"/>
        <v>0</v>
      </c>
      <c r="Y11" s="35">
        <f t="shared" si="4"/>
        <v>0</v>
      </c>
    </row>
    <row r="12" spans="1:26" s="7" customFormat="1" ht="14.25" customHeight="1" x14ac:dyDescent="0.15">
      <c r="A12" s="59"/>
      <c r="B12" s="59"/>
      <c r="C12" s="57" t="s">
        <v>34</v>
      </c>
      <c r="D12" s="57" t="s">
        <v>34</v>
      </c>
      <c r="E12" s="57" t="s">
        <v>89</v>
      </c>
      <c r="F12" s="57" t="s">
        <v>34</v>
      </c>
      <c r="G12" s="64" t="s">
        <v>56</v>
      </c>
      <c r="H12" s="94" t="s">
        <v>27</v>
      </c>
      <c r="I12" s="86" t="s">
        <v>2</v>
      </c>
      <c r="J12" s="86"/>
      <c r="K12" s="17">
        <f t="shared" si="2"/>
        <v>0</v>
      </c>
      <c r="L12" s="17">
        <f t="shared" si="0"/>
        <v>0</v>
      </c>
      <c r="M12" s="18"/>
      <c r="N12" s="19"/>
      <c r="O12" s="19"/>
      <c r="P12" s="19"/>
      <c r="Q12" s="19"/>
      <c r="R12" s="20"/>
      <c r="S12" s="17">
        <f t="shared" si="1"/>
        <v>0</v>
      </c>
      <c r="T12" s="18"/>
      <c r="U12" s="19"/>
      <c r="V12" s="19"/>
      <c r="W12" s="19"/>
      <c r="X12" s="19"/>
      <c r="Y12" s="21"/>
    </row>
    <row r="13" spans="1:26" ht="14.25" customHeight="1" x14ac:dyDescent="0.15">
      <c r="A13" s="58"/>
      <c r="B13" s="58"/>
      <c r="C13" s="57" t="s">
        <v>34</v>
      </c>
      <c r="D13" s="57" t="s">
        <v>34</v>
      </c>
      <c r="E13" s="57" t="s">
        <v>89</v>
      </c>
      <c r="F13" s="57" t="s">
        <v>34</v>
      </c>
      <c r="G13" s="64" t="s">
        <v>57</v>
      </c>
      <c r="H13" s="95"/>
      <c r="I13" s="86" t="s">
        <v>3</v>
      </c>
      <c r="J13" s="86"/>
      <c r="K13" s="17">
        <f t="shared" si="2"/>
        <v>0</v>
      </c>
      <c r="L13" s="17">
        <f t="shared" si="0"/>
        <v>0</v>
      </c>
      <c r="M13" s="18"/>
      <c r="N13" s="19"/>
      <c r="O13" s="19"/>
      <c r="P13" s="19"/>
      <c r="Q13" s="19"/>
      <c r="R13" s="20"/>
      <c r="S13" s="17">
        <f t="shared" si="1"/>
        <v>0</v>
      </c>
      <c r="T13" s="18"/>
      <c r="U13" s="19"/>
      <c r="V13" s="19"/>
      <c r="W13" s="19"/>
      <c r="X13" s="19"/>
      <c r="Y13" s="21"/>
    </row>
    <row r="14" spans="1:26" ht="14.25" customHeight="1" x14ac:dyDescent="0.15">
      <c r="A14" s="58"/>
      <c r="B14" s="58"/>
      <c r="C14" s="57" t="s">
        <v>34</v>
      </c>
      <c r="D14" s="57" t="s">
        <v>34</v>
      </c>
      <c r="E14" s="57" t="s">
        <v>89</v>
      </c>
      <c r="F14" s="57" t="s">
        <v>34</v>
      </c>
      <c r="G14" s="64" t="s">
        <v>58</v>
      </c>
      <c r="H14" s="95"/>
      <c r="I14" s="86" t="s">
        <v>4</v>
      </c>
      <c r="J14" s="86"/>
      <c r="K14" s="17">
        <f t="shared" si="2"/>
        <v>0</v>
      </c>
      <c r="L14" s="17">
        <f t="shared" si="0"/>
        <v>0</v>
      </c>
      <c r="M14" s="18"/>
      <c r="N14" s="19"/>
      <c r="O14" s="19"/>
      <c r="P14" s="19"/>
      <c r="Q14" s="19"/>
      <c r="R14" s="20"/>
      <c r="S14" s="17">
        <f t="shared" si="1"/>
        <v>0</v>
      </c>
      <c r="T14" s="18"/>
      <c r="U14" s="19"/>
      <c r="V14" s="19"/>
      <c r="W14" s="19"/>
      <c r="X14" s="19"/>
      <c r="Y14" s="21"/>
    </row>
    <row r="15" spans="1:26" ht="14.25" customHeight="1" x14ac:dyDescent="0.15">
      <c r="A15" s="58"/>
      <c r="B15" s="58"/>
      <c r="C15" s="57" t="s">
        <v>34</v>
      </c>
      <c r="D15" s="57" t="s">
        <v>34</v>
      </c>
      <c r="E15" s="57" t="s">
        <v>89</v>
      </c>
      <c r="F15" s="57" t="s">
        <v>34</v>
      </c>
      <c r="G15" s="64" t="s">
        <v>59</v>
      </c>
      <c r="H15" s="95"/>
      <c r="I15" s="86" t="s">
        <v>5</v>
      </c>
      <c r="J15" s="86"/>
      <c r="K15" s="17">
        <f t="shared" si="2"/>
        <v>0</v>
      </c>
      <c r="L15" s="17">
        <f t="shared" si="0"/>
        <v>0</v>
      </c>
      <c r="M15" s="18"/>
      <c r="N15" s="18"/>
      <c r="O15" s="18"/>
      <c r="P15" s="18"/>
      <c r="Q15" s="18"/>
      <c r="R15" s="18"/>
      <c r="S15" s="17">
        <f t="shared" si="1"/>
        <v>0</v>
      </c>
      <c r="T15" s="18"/>
      <c r="U15" s="18"/>
      <c r="V15" s="18"/>
      <c r="W15" s="18"/>
      <c r="X15" s="18"/>
      <c r="Y15" s="22"/>
    </row>
    <row r="16" spans="1:26" ht="14.25" customHeight="1" x14ac:dyDescent="0.15">
      <c r="A16" s="58"/>
      <c r="B16" s="58"/>
      <c r="C16" s="57" t="s">
        <v>34</v>
      </c>
      <c r="D16" s="57" t="s">
        <v>34</v>
      </c>
      <c r="E16" s="57" t="s">
        <v>89</v>
      </c>
      <c r="F16" s="57" t="s">
        <v>34</v>
      </c>
      <c r="G16" s="64" t="s">
        <v>60</v>
      </c>
      <c r="H16" s="96"/>
      <c r="I16" s="97" t="s">
        <v>41</v>
      </c>
      <c r="J16" s="85"/>
      <c r="K16" s="27">
        <f>L16+S16</f>
        <v>0</v>
      </c>
      <c r="L16" s="27">
        <f>SUM(M16:R16)</f>
        <v>0</v>
      </c>
      <c r="M16" s="28"/>
      <c r="N16" s="29"/>
      <c r="O16" s="29"/>
      <c r="P16" s="29"/>
      <c r="Q16" s="29"/>
      <c r="R16" s="25"/>
      <c r="S16" s="27">
        <f>SUM(T16:Y16)</f>
        <v>0</v>
      </c>
      <c r="T16" s="23"/>
      <c r="U16" s="24"/>
      <c r="V16" s="24"/>
      <c r="W16" s="24"/>
      <c r="X16" s="24"/>
      <c r="Y16" s="26"/>
    </row>
    <row r="17" spans="1:25" ht="14.25" customHeight="1" x14ac:dyDescent="0.15">
      <c r="A17" s="58"/>
      <c r="B17" s="58"/>
      <c r="C17" s="57"/>
      <c r="D17" s="57"/>
      <c r="E17" s="57"/>
      <c r="F17" s="57"/>
      <c r="G17" s="57"/>
      <c r="H17" s="85" t="s">
        <v>6</v>
      </c>
      <c r="I17" s="86"/>
      <c r="J17" s="86"/>
      <c r="K17" s="30">
        <f>L17+S17</f>
        <v>0</v>
      </c>
      <c r="L17" s="30">
        <f>SUM(M17:R17)</f>
        <v>0</v>
      </c>
      <c r="M17" s="31">
        <f t="shared" ref="M17:R17" si="5">SUM(M12:M16)</f>
        <v>0</v>
      </c>
      <c r="N17" s="31">
        <f t="shared" si="5"/>
        <v>0</v>
      </c>
      <c r="O17" s="31">
        <f t="shared" si="5"/>
        <v>0</v>
      </c>
      <c r="P17" s="31">
        <f t="shared" si="5"/>
        <v>0</v>
      </c>
      <c r="Q17" s="31">
        <f t="shared" si="5"/>
        <v>0</v>
      </c>
      <c r="R17" s="31">
        <f t="shared" si="5"/>
        <v>0</v>
      </c>
      <c r="S17" s="30">
        <f>SUM(T17:Y17)</f>
        <v>0</v>
      </c>
      <c r="T17" s="31">
        <f t="shared" ref="T17:Y17" si="6">SUM(T12:T16)</f>
        <v>0</v>
      </c>
      <c r="U17" s="31">
        <f t="shared" si="6"/>
        <v>0</v>
      </c>
      <c r="V17" s="31">
        <f t="shared" si="6"/>
        <v>0</v>
      </c>
      <c r="W17" s="31">
        <f t="shared" si="6"/>
        <v>0</v>
      </c>
      <c r="X17" s="31">
        <f t="shared" si="6"/>
        <v>0</v>
      </c>
      <c r="Y17" s="68">
        <f t="shared" si="6"/>
        <v>0</v>
      </c>
    </row>
    <row r="18" spans="1:25" s="7" customFormat="1" ht="14.25" customHeight="1" x14ac:dyDescent="0.15">
      <c r="A18" s="59"/>
      <c r="B18" s="59"/>
      <c r="C18" s="57"/>
      <c r="D18" s="57" t="s">
        <v>34</v>
      </c>
      <c r="E18" s="57"/>
      <c r="F18" s="57" t="s">
        <v>34</v>
      </c>
      <c r="G18" s="64" t="s">
        <v>61</v>
      </c>
      <c r="H18" s="85" t="s">
        <v>7</v>
      </c>
      <c r="I18" s="86"/>
      <c r="J18" s="86"/>
      <c r="K18" s="15">
        <f>L18+S18</f>
        <v>0</v>
      </c>
      <c r="L18" s="15">
        <f>SUM(M18:R18)</f>
        <v>0</v>
      </c>
      <c r="M18" s="41">
        <f t="shared" ref="M18:R18" si="7">M11-M17</f>
        <v>0</v>
      </c>
      <c r="N18" s="41">
        <f t="shared" si="7"/>
        <v>0</v>
      </c>
      <c r="O18" s="41">
        <f t="shared" si="7"/>
        <v>0</v>
      </c>
      <c r="P18" s="41">
        <f t="shared" si="7"/>
        <v>0</v>
      </c>
      <c r="Q18" s="41">
        <f t="shared" si="7"/>
        <v>0</v>
      </c>
      <c r="R18" s="41">
        <f t="shared" si="7"/>
        <v>0</v>
      </c>
      <c r="S18" s="15">
        <f>SUM(T18:Y18)</f>
        <v>0</v>
      </c>
      <c r="T18" s="41">
        <f t="shared" ref="T18:Y18" si="8">T11-T17</f>
        <v>0</v>
      </c>
      <c r="U18" s="41">
        <f t="shared" si="8"/>
        <v>0</v>
      </c>
      <c r="V18" s="41">
        <f t="shared" si="8"/>
        <v>0</v>
      </c>
      <c r="W18" s="41">
        <f t="shared" si="8"/>
        <v>0</v>
      </c>
      <c r="X18" s="41">
        <f t="shared" si="8"/>
        <v>0</v>
      </c>
      <c r="Y18" s="69">
        <f t="shared" si="8"/>
        <v>0</v>
      </c>
    </row>
    <row r="19" spans="1:25" s="7" customFormat="1" ht="14.25" customHeight="1" x14ac:dyDescent="0.15">
      <c r="A19" s="59"/>
      <c r="B19" s="59"/>
      <c r="C19" s="57"/>
      <c r="D19" s="57" t="s">
        <v>34</v>
      </c>
      <c r="E19" s="57"/>
      <c r="F19" s="57"/>
      <c r="G19" s="64" t="s">
        <v>62</v>
      </c>
      <c r="H19" s="98" t="s">
        <v>28</v>
      </c>
      <c r="I19" s="86" t="s">
        <v>8</v>
      </c>
      <c r="J19" s="86"/>
      <c r="K19" s="17">
        <f>L19+S19</f>
        <v>0</v>
      </c>
      <c r="L19" s="17">
        <f>SUM(M19:R19)</f>
        <v>0</v>
      </c>
      <c r="M19" s="32">
        <f t="shared" ref="M19:R19" si="9">M35</f>
        <v>0</v>
      </c>
      <c r="N19" s="32">
        <f t="shared" si="9"/>
        <v>0</v>
      </c>
      <c r="O19" s="32">
        <f t="shared" si="9"/>
        <v>0</v>
      </c>
      <c r="P19" s="32">
        <f t="shared" si="9"/>
        <v>0</v>
      </c>
      <c r="Q19" s="32">
        <f t="shared" si="9"/>
        <v>0</v>
      </c>
      <c r="R19" s="32">
        <f t="shared" si="9"/>
        <v>0</v>
      </c>
      <c r="S19" s="17">
        <f>SUM(T19:Y19)</f>
        <v>0</v>
      </c>
      <c r="T19" s="32">
        <f t="shared" ref="T19:Y19" si="10">T35</f>
        <v>0</v>
      </c>
      <c r="U19" s="32">
        <f t="shared" si="10"/>
        <v>0</v>
      </c>
      <c r="V19" s="32">
        <f t="shared" si="10"/>
        <v>0</v>
      </c>
      <c r="W19" s="32">
        <f t="shared" si="10"/>
        <v>0</v>
      </c>
      <c r="X19" s="32">
        <f t="shared" si="10"/>
        <v>0</v>
      </c>
      <c r="Y19" s="35">
        <f t="shared" si="10"/>
        <v>0</v>
      </c>
    </row>
    <row r="20" spans="1:25" ht="14.25" customHeight="1" x14ac:dyDescent="0.15">
      <c r="A20" s="58"/>
      <c r="B20" s="58"/>
      <c r="C20" s="57" t="s">
        <v>34</v>
      </c>
      <c r="D20" s="57" t="s">
        <v>34</v>
      </c>
      <c r="E20" s="57" t="s">
        <v>89</v>
      </c>
      <c r="F20" s="57" t="s">
        <v>34</v>
      </c>
      <c r="G20" s="64" t="s">
        <v>63</v>
      </c>
      <c r="H20" s="98"/>
      <c r="I20" s="86" t="s">
        <v>9</v>
      </c>
      <c r="J20" s="86"/>
      <c r="K20" s="17">
        <f>L20+S20</f>
        <v>0</v>
      </c>
      <c r="L20" s="17">
        <f>SUM(M20:R20)</f>
        <v>0</v>
      </c>
      <c r="M20" s="23"/>
      <c r="N20" s="24"/>
      <c r="O20" s="24"/>
      <c r="P20" s="24"/>
      <c r="Q20" s="24"/>
      <c r="R20" s="25"/>
      <c r="S20" s="17">
        <f>SUM(T20:Y20)</f>
        <v>0</v>
      </c>
      <c r="T20" s="23"/>
      <c r="U20" s="24"/>
      <c r="V20" s="24"/>
      <c r="W20" s="24"/>
      <c r="X20" s="24"/>
      <c r="Y20" s="26"/>
    </row>
    <row r="21" spans="1:25" ht="14.25" customHeight="1" x14ac:dyDescent="0.15">
      <c r="A21" s="58"/>
      <c r="B21" s="58"/>
      <c r="C21" s="57" t="s">
        <v>34</v>
      </c>
      <c r="D21" s="57" t="s">
        <v>34</v>
      </c>
      <c r="E21" s="57" t="s">
        <v>89</v>
      </c>
      <c r="F21" s="57" t="s">
        <v>34</v>
      </c>
      <c r="G21" s="64" t="s">
        <v>64</v>
      </c>
      <c r="H21" s="98"/>
      <c r="I21" s="86" t="s">
        <v>10</v>
      </c>
      <c r="J21" s="86"/>
      <c r="K21" s="17">
        <f t="shared" si="2"/>
        <v>0</v>
      </c>
      <c r="L21" s="17">
        <f t="shared" ref="L21:L33" si="11">SUM(M21:R21)</f>
        <v>0</v>
      </c>
      <c r="M21" s="23"/>
      <c r="N21" s="24"/>
      <c r="O21" s="24"/>
      <c r="P21" s="24"/>
      <c r="Q21" s="24"/>
      <c r="R21" s="25"/>
      <c r="S21" s="17">
        <f t="shared" si="1"/>
        <v>0</v>
      </c>
      <c r="T21" s="23"/>
      <c r="U21" s="24"/>
      <c r="V21" s="24"/>
      <c r="W21" s="24"/>
      <c r="X21" s="24"/>
      <c r="Y21" s="26"/>
    </row>
    <row r="22" spans="1:25" ht="14.25" customHeight="1" x14ac:dyDescent="0.15">
      <c r="A22" s="58"/>
      <c r="B22" s="58"/>
      <c r="C22" s="57"/>
      <c r="D22" s="57" t="s">
        <v>34</v>
      </c>
      <c r="E22" s="57" t="s">
        <v>34</v>
      </c>
      <c r="F22" s="57"/>
      <c r="G22" s="64" t="s">
        <v>65</v>
      </c>
      <c r="H22" s="98"/>
      <c r="I22" s="86" t="s">
        <v>11</v>
      </c>
      <c r="J22" s="86"/>
      <c r="K22" s="17">
        <f t="shared" si="2"/>
        <v>0</v>
      </c>
      <c r="L22" s="17">
        <f t="shared" si="11"/>
        <v>0</v>
      </c>
      <c r="M22" s="32"/>
      <c r="N22" s="33"/>
      <c r="O22" s="33"/>
      <c r="P22" s="33"/>
      <c r="Q22" s="33"/>
      <c r="R22" s="34"/>
      <c r="S22" s="17">
        <f t="shared" si="1"/>
        <v>0</v>
      </c>
      <c r="T22" s="32"/>
      <c r="U22" s="33"/>
      <c r="V22" s="33"/>
      <c r="W22" s="33"/>
      <c r="X22" s="33"/>
      <c r="Y22" s="35"/>
    </row>
    <row r="23" spans="1:25" ht="14.25" customHeight="1" x14ac:dyDescent="0.15">
      <c r="A23" s="58"/>
      <c r="B23" s="58"/>
      <c r="C23" s="57"/>
      <c r="D23" s="57" t="s">
        <v>34</v>
      </c>
      <c r="E23" s="57" t="s">
        <v>34</v>
      </c>
      <c r="F23" s="57"/>
      <c r="G23" s="64" t="s">
        <v>66</v>
      </c>
      <c r="H23" s="98"/>
      <c r="I23" s="86" t="s">
        <v>12</v>
      </c>
      <c r="J23" s="86"/>
      <c r="K23" s="17">
        <f t="shared" si="2"/>
        <v>0</v>
      </c>
      <c r="L23" s="17">
        <f t="shared" si="11"/>
        <v>0</v>
      </c>
      <c r="M23" s="32"/>
      <c r="N23" s="33"/>
      <c r="O23" s="33"/>
      <c r="P23" s="33"/>
      <c r="Q23" s="33"/>
      <c r="R23" s="34"/>
      <c r="S23" s="17">
        <f t="shared" si="1"/>
        <v>0</v>
      </c>
      <c r="T23" s="32"/>
      <c r="U23" s="33"/>
      <c r="V23" s="33"/>
      <c r="W23" s="33"/>
      <c r="X23" s="33"/>
      <c r="Y23" s="35"/>
    </row>
    <row r="24" spans="1:25" ht="14.25" customHeight="1" x14ac:dyDescent="0.15">
      <c r="A24" s="58"/>
      <c r="B24" s="58"/>
      <c r="C24" s="57" t="s">
        <v>34</v>
      </c>
      <c r="D24" s="57" t="s">
        <v>34</v>
      </c>
      <c r="E24" s="57" t="s">
        <v>89</v>
      </c>
      <c r="F24" s="57" t="s">
        <v>34</v>
      </c>
      <c r="G24" s="64" t="s">
        <v>67</v>
      </c>
      <c r="H24" s="98"/>
      <c r="I24" s="86" t="s">
        <v>13</v>
      </c>
      <c r="J24" s="86"/>
      <c r="K24" s="17">
        <f t="shared" si="2"/>
        <v>0</v>
      </c>
      <c r="L24" s="17">
        <f>SUM(M24:R24)</f>
        <v>0</v>
      </c>
      <c r="M24" s="23"/>
      <c r="N24" s="24"/>
      <c r="O24" s="24"/>
      <c r="P24" s="24"/>
      <c r="Q24" s="24"/>
      <c r="R24" s="25"/>
      <c r="S24" s="17">
        <f t="shared" si="1"/>
        <v>0</v>
      </c>
      <c r="T24" s="23"/>
      <c r="U24" s="24"/>
      <c r="V24" s="24"/>
      <c r="W24" s="24"/>
      <c r="X24" s="24"/>
      <c r="Y24" s="26"/>
    </row>
    <row r="25" spans="1:25" ht="14.25" customHeight="1" x14ac:dyDescent="0.15">
      <c r="A25" s="58"/>
      <c r="B25" s="58"/>
      <c r="C25" s="57"/>
      <c r="D25" s="57"/>
      <c r="E25" s="57"/>
      <c r="F25" s="57"/>
      <c r="G25" s="57"/>
      <c r="H25" s="85" t="s">
        <v>6</v>
      </c>
      <c r="I25" s="86"/>
      <c r="J25" s="86"/>
      <c r="K25" s="30">
        <f>L25+S25</f>
        <v>0</v>
      </c>
      <c r="L25" s="30">
        <f>SUM(M25:R25)</f>
        <v>0</v>
      </c>
      <c r="M25" s="31">
        <f t="shared" ref="M25:R25" si="12">SUM(M19:M24)</f>
        <v>0</v>
      </c>
      <c r="N25" s="31">
        <f t="shared" si="12"/>
        <v>0</v>
      </c>
      <c r="O25" s="31">
        <f t="shared" si="12"/>
        <v>0</v>
      </c>
      <c r="P25" s="31">
        <f t="shared" si="12"/>
        <v>0</v>
      </c>
      <c r="Q25" s="31">
        <f t="shared" si="12"/>
        <v>0</v>
      </c>
      <c r="R25" s="31">
        <f t="shared" si="12"/>
        <v>0</v>
      </c>
      <c r="S25" s="30">
        <f>SUM(T25:Y25)</f>
        <v>0</v>
      </c>
      <c r="T25" s="31">
        <f t="shared" ref="T25:Y25" si="13">SUM(T19:T24)</f>
        <v>0</v>
      </c>
      <c r="U25" s="31">
        <f t="shared" si="13"/>
        <v>0</v>
      </c>
      <c r="V25" s="31">
        <f t="shared" si="13"/>
        <v>0</v>
      </c>
      <c r="W25" s="31">
        <f t="shared" si="13"/>
        <v>0</v>
      </c>
      <c r="X25" s="31">
        <f t="shared" si="13"/>
        <v>0</v>
      </c>
      <c r="Y25" s="68">
        <f t="shared" si="13"/>
        <v>0</v>
      </c>
    </row>
    <row r="26" spans="1:25" s="7" customFormat="1" ht="14.25" customHeight="1" x14ac:dyDescent="0.15">
      <c r="A26" s="59"/>
      <c r="B26" s="59"/>
      <c r="C26" s="57"/>
      <c r="D26" s="57" t="s">
        <v>34</v>
      </c>
      <c r="E26" s="57"/>
      <c r="F26" s="57" t="s">
        <v>34</v>
      </c>
      <c r="G26" s="64" t="s">
        <v>68</v>
      </c>
      <c r="H26" s="85" t="s">
        <v>14</v>
      </c>
      <c r="I26" s="86"/>
      <c r="J26" s="86"/>
      <c r="K26" s="17">
        <f t="shared" si="2"/>
        <v>0</v>
      </c>
      <c r="L26" s="17">
        <f t="shared" si="11"/>
        <v>0</v>
      </c>
      <c r="M26" s="32">
        <f t="shared" ref="M26:R26" si="14">M18-M25</f>
        <v>0</v>
      </c>
      <c r="N26" s="32">
        <f t="shared" si="14"/>
        <v>0</v>
      </c>
      <c r="O26" s="32">
        <f t="shared" si="14"/>
        <v>0</v>
      </c>
      <c r="P26" s="32">
        <f t="shared" si="14"/>
        <v>0</v>
      </c>
      <c r="Q26" s="32">
        <f t="shared" si="14"/>
        <v>0</v>
      </c>
      <c r="R26" s="32">
        <f t="shared" si="14"/>
        <v>0</v>
      </c>
      <c r="S26" s="17">
        <f t="shared" si="1"/>
        <v>0</v>
      </c>
      <c r="T26" s="32">
        <f t="shared" ref="T26:Y26" si="15">T18-T25</f>
        <v>0</v>
      </c>
      <c r="U26" s="32">
        <f t="shared" si="15"/>
        <v>0</v>
      </c>
      <c r="V26" s="32">
        <f t="shared" si="15"/>
        <v>0</v>
      </c>
      <c r="W26" s="32">
        <f t="shared" si="15"/>
        <v>0</v>
      </c>
      <c r="X26" s="32">
        <f t="shared" si="15"/>
        <v>0</v>
      </c>
      <c r="Y26" s="69">
        <f t="shared" si="15"/>
        <v>0</v>
      </c>
    </row>
    <row r="27" spans="1:25" s="7" customFormat="1" ht="14.25" customHeight="1" x14ac:dyDescent="0.15">
      <c r="A27" s="59"/>
      <c r="B27" s="59"/>
      <c r="C27" s="57"/>
      <c r="D27" s="57" t="s">
        <v>34</v>
      </c>
      <c r="E27" s="57" t="s">
        <v>34</v>
      </c>
      <c r="F27" s="57" t="s">
        <v>34</v>
      </c>
      <c r="G27" s="64" t="s">
        <v>69</v>
      </c>
      <c r="H27" s="85" t="s">
        <v>24</v>
      </c>
      <c r="I27" s="86"/>
      <c r="J27" s="86"/>
      <c r="K27" s="17">
        <f t="shared" si="2"/>
        <v>0</v>
      </c>
      <c r="L27" s="17">
        <f t="shared" si="11"/>
        <v>0</v>
      </c>
      <c r="M27" s="32"/>
      <c r="N27" s="33"/>
      <c r="O27" s="33"/>
      <c r="P27" s="33"/>
      <c r="Q27" s="33"/>
      <c r="R27" s="34"/>
      <c r="S27" s="17">
        <f t="shared" si="1"/>
        <v>0</v>
      </c>
      <c r="T27" s="32"/>
      <c r="U27" s="33"/>
      <c r="V27" s="33"/>
      <c r="W27" s="33"/>
      <c r="X27" s="33"/>
      <c r="Y27" s="35"/>
    </row>
    <row r="28" spans="1:25" s="7" customFormat="1" ht="14.25" customHeight="1" x14ac:dyDescent="0.15">
      <c r="A28" s="59"/>
      <c r="B28" s="59"/>
      <c r="C28" s="57"/>
      <c r="D28" s="57" t="s">
        <v>34</v>
      </c>
      <c r="E28" s="57" t="s">
        <v>34</v>
      </c>
      <c r="F28" s="57" t="s">
        <v>34</v>
      </c>
      <c r="G28" s="64" t="s">
        <v>70</v>
      </c>
      <c r="H28" s="85" t="s">
        <v>25</v>
      </c>
      <c r="I28" s="86"/>
      <c r="J28" s="86"/>
      <c r="K28" s="17">
        <f t="shared" si="2"/>
        <v>0</v>
      </c>
      <c r="L28" s="17">
        <f t="shared" si="11"/>
        <v>0</v>
      </c>
      <c r="M28" s="32"/>
      <c r="N28" s="33"/>
      <c r="O28" s="33"/>
      <c r="P28" s="33"/>
      <c r="Q28" s="33"/>
      <c r="R28" s="34"/>
      <c r="S28" s="17">
        <f t="shared" si="1"/>
        <v>0</v>
      </c>
      <c r="T28" s="32"/>
      <c r="U28" s="33"/>
      <c r="V28" s="33"/>
      <c r="W28" s="33"/>
      <c r="X28" s="33"/>
      <c r="Y28" s="35"/>
    </row>
    <row r="29" spans="1:25" s="7" customFormat="1" ht="14.25" customHeight="1" x14ac:dyDescent="0.15">
      <c r="A29" s="59"/>
      <c r="B29" s="59"/>
      <c r="C29" s="57"/>
      <c r="D29" s="57" t="s">
        <v>34</v>
      </c>
      <c r="E29" s="57"/>
      <c r="F29" s="57" t="s">
        <v>34</v>
      </c>
      <c r="G29" s="64" t="s">
        <v>71</v>
      </c>
      <c r="H29" s="85" t="s">
        <v>26</v>
      </c>
      <c r="I29" s="86"/>
      <c r="J29" s="86"/>
      <c r="K29" s="17">
        <f t="shared" si="2"/>
        <v>0</v>
      </c>
      <c r="L29" s="17">
        <f t="shared" si="11"/>
        <v>0</v>
      </c>
      <c r="M29" s="32">
        <f t="shared" ref="M29:R29" si="16">SUM(M27:M28)</f>
        <v>0</v>
      </c>
      <c r="N29" s="32">
        <f t="shared" si="16"/>
        <v>0</v>
      </c>
      <c r="O29" s="32">
        <f t="shared" si="16"/>
        <v>0</v>
      </c>
      <c r="P29" s="32">
        <f t="shared" si="16"/>
        <v>0</v>
      </c>
      <c r="Q29" s="32">
        <f t="shared" si="16"/>
        <v>0</v>
      </c>
      <c r="R29" s="32">
        <f t="shared" si="16"/>
        <v>0</v>
      </c>
      <c r="S29" s="17">
        <f t="shared" si="1"/>
        <v>0</v>
      </c>
      <c r="T29" s="32">
        <f t="shared" ref="T29:Y29" si="17">SUM(T27:T28)</f>
        <v>0</v>
      </c>
      <c r="U29" s="32">
        <f t="shared" si="17"/>
        <v>0</v>
      </c>
      <c r="V29" s="32">
        <f t="shared" si="17"/>
        <v>0</v>
      </c>
      <c r="W29" s="32">
        <f t="shared" si="17"/>
        <v>0</v>
      </c>
      <c r="X29" s="32">
        <f t="shared" si="17"/>
        <v>0</v>
      </c>
      <c r="Y29" s="35">
        <f t="shared" si="17"/>
        <v>0</v>
      </c>
    </row>
    <row r="30" spans="1:25" s="7" customFormat="1" ht="14.25" customHeight="1" x14ac:dyDescent="0.15">
      <c r="A30" s="59"/>
      <c r="B30" s="59"/>
      <c r="C30" s="57"/>
      <c r="D30" s="57" t="s">
        <v>34</v>
      </c>
      <c r="E30" s="57"/>
      <c r="F30" s="57" t="s">
        <v>34</v>
      </c>
      <c r="G30" s="64" t="s">
        <v>72</v>
      </c>
      <c r="H30" s="85" t="s">
        <v>15</v>
      </c>
      <c r="I30" s="86"/>
      <c r="J30" s="86"/>
      <c r="K30" s="17">
        <f t="shared" si="2"/>
        <v>0</v>
      </c>
      <c r="L30" s="17">
        <f t="shared" si="11"/>
        <v>0</v>
      </c>
      <c r="M30" s="32">
        <f t="shared" ref="M30:R30" si="18">M26-M29</f>
        <v>0</v>
      </c>
      <c r="N30" s="32">
        <f t="shared" si="18"/>
        <v>0</v>
      </c>
      <c r="O30" s="32">
        <f t="shared" si="18"/>
        <v>0</v>
      </c>
      <c r="P30" s="32">
        <f t="shared" si="18"/>
        <v>0</v>
      </c>
      <c r="Q30" s="32">
        <f t="shared" si="18"/>
        <v>0</v>
      </c>
      <c r="R30" s="32">
        <f t="shared" si="18"/>
        <v>0</v>
      </c>
      <c r="S30" s="17">
        <f t="shared" si="1"/>
        <v>0</v>
      </c>
      <c r="T30" s="32">
        <f t="shared" ref="T30:Y30" si="19">T26-T29</f>
        <v>0</v>
      </c>
      <c r="U30" s="32">
        <f t="shared" si="19"/>
        <v>0</v>
      </c>
      <c r="V30" s="32">
        <f t="shared" si="19"/>
        <v>0</v>
      </c>
      <c r="W30" s="32">
        <f t="shared" si="19"/>
        <v>0</v>
      </c>
      <c r="X30" s="32">
        <f t="shared" si="19"/>
        <v>0</v>
      </c>
      <c r="Y30" s="35">
        <f t="shared" si="19"/>
        <v>0</v>
      </c>
    </row>
    <row r="31" spans="1:25" s="7" customFormat="1" ht="14.25" customHeight="1" x14ac:dyDescent="0.15">
      <c r="A31" s="59"/>
      <c r="B31" s="59"/>
      <c r="C31" s="57"/>
      <c r="D31" s="57" t="s">
        <v>34</v>
      </c>
      <c r="E31" s="57"/>
      <c r="F31" s="57" t="s">
        <v>34</v>
      </c>
      <c r="G31" s="64" t="s">
        <v>73</v>
      </c>
      <c r="H31" s="85" t="s">
        <v>16</v>
      </c>
      <c r="I31" s="86"/>
      <c r="J31" s="86"/>
      <c r="K31" s="17">
        <f t="shared" si="2"/>
        <v>0</v>
      </c>
      <c r="L31" s="17">
        <f t="shared" si="11"/>
        <v>0</v>
      </c>
      <c r="M31" s="32">
        <f t="shared" ref="M31:R31" si="20">M30+M9+M29</f>
        <v>0</v>
      </c>
      <c r="N31" s="32">
        <f t="shared" si="20"/>
        <v>0</v>
      </c>
      <c r="O31" s="32">
        <f t="shared" si="20"/>
        <v>0</v>
      </c>
      <c r="P31" s="32">
        <f t="shared" si="20"/>
        <v>0</v>
      </c>
      <c r="Q31" s="32">
        <f t="shared" si="20"/>
        <v>0</v>
      </c>
      <c r="R31" s="32">
        <f t="shared" si="20"/>
        <v>0</v>
      </c>
      <c r="S31" s="17">
        <f t="shared" si="1"/>
        <v>0</v>
      </c>
      <c r="T31" s="32">
        <f t="shared" ref="T31:Y31" si="21">T30+T9+T29</f>
        <v>0</v>
      </c>
      <c r="U31" s="32">
        <f t="shared" si="21"/>
        <v>0</v>
      </c>
      <c r="V31" s="32">
        <f t="shared" si="21"/>
        <v>0</v>
      </c>
      <c r="W31" s="32">
        <f t="shared" si="21"/>
        <v>0</v>
      </c>
      <c r="X31" s="32">
        <f t="shared" si="21"/>
        <v>0</v>
      </c>
      <c r="Y31" s="35">
        <f t="shared" si="21"/>
        <v>0</v>
      </c>
    </row>
    <row r="32" spans="1:25" s="7" customFormat="1" ht="14.25" customHeight="1" x14ac:dyDescent="0.15">
      <c r="A32" s="59"/>
      <c r="B32" s="59"/>
      <c r="C32" s="57"/>
      <c r="D32" s="57" t="s">
        <v>34</v>
      </c>
      <c r="E32" s="57"/>
      <c r="F32" s="57" t="s">
        <v>34</v>
      </c>
      <c r="G32" s="64" t="s">
        <v>74</v>
      </c>
      <c r="H32" s="85" t="s">
        <v>17</v>
      </c>
      <c r="I32" s="86"/>
      <c r="J32" s="86"/>
      <c r="K32" s="17">
        <f t="shared" si="2"/>
        <v>0</v>
      </c>
      <c r="L32" s="17">
        <f t="shared" si="11"/>
        <v>0</v>
      </c>
      <c r="M32" s="71">
        <f t="shared" ref="M32:R32" si="22">IF(ISERROR((M25+M28)/((M18/M7)-(M27/M7))),0,(M25+M28)/((M18/M7)-(M27/M7)))</f>
        <v>0</v>
      </c>
      <c r="N32" s="71">
        <f t="shared" si="22"/>
        <v>0</v>
      </c>
      <c r="O32" s="71">
        <f t="shared" si="22"/>
        <v>0</v>
      </c>
      <c r="P32" s="71">
        <f t="shared" si="22"/>
        <v>0</v>
      </c>
      <c r="Q32" s="71">
        <f t="shared" si="22"/>
        <v>0</v>
      </c>
      <c r="R32" s="71">
        <f t="shared" si="22"/>
        <v>0</v>
      </c>
      <c r="S32" s="17">
        <f t="shared" si="1"/>
        <v>0</v>
      </c>
      <c r="T32" s="71">
        <f t="shared" ref="T32:Y32" si="23">IF(ISERROR((T25+T28)/((T18/T7)-(T27/T7))),0,(T25+T28)/((T18/T7)-(T27/T7)))</f>
        <v>0</v>
      </c>
      <c r="U32" s="71">
        <f t="shared" si="23"/>
        <v>0</v>
      </c>
      <c r="V32" s="71">
        <f t="shared" si="23"/>
        <v>0</v>
      </c>
      <c r="W32" s="71">
        <f t="shared" si="23"/>
        <v>0</v>
      </c>
      <c r="X32" s="71">
        <f t="shared" si="23"/>
        <v>0</v>
      </c>
      <c r="Y32" s="72">
        <f t="shared" si="23"/>
        <v>0</v>
      </c>
    </row>
    <row r="33" spans="1:25" s="7" customFormat="1" ht="14.25" customHeight="1" x14ac:dyDescent="0.15">
      <c r="A33" s="59"/>
      <c r="B33" s="59"/>
      <c r="C33" s="57"/>
      <c r="D33" s="57" t="s">
        <v>34</v>
      </c>
      <c r="E33" s="57"/>
      <c r="F33" s="57" t="s">
        <v>34</v>
      </c>
      <c r="G33" s="64" t="s">
        <v>75</v>
      </c>
      <c r="H33" s="85" t="s">
        <v>18</v>
      </c>
      <c r="I33" s="86"/>
      <c r="J33" s="86"/>
      <c r="K33" s="17">
        <f t="shared" si="2"/>
        <v>0</v>
      </c>
      <c r="L33" s="17">
        <f t="shared" si="11"/>
        <v>0</v>
      </c>
      <c r="M33" s="32">
        <f t="shared" ref="M33:R33" si="24">M7-M32</f>
        <v>0</v>
      </c>
      <c r="N33" s="32">
        <f t="shared" si="24"/>
        <v>0</v>
      </c>
      <c r="O33" s="32">
        <f t="shared" si="24"/>
        <v>0</v>
      </c>
      <c r="P33" s="32">
        <f t="shared" si="24"/>
        <v>0</v>
      </c>
      <c r="Q33" s="32">
        <f t="shared" si="24"/>
        <v>0</v>
      </c>
      <c r="R33" s="32">
        <f t="shared" si="24"/>
        <v>0</v>
      </c>
      <c r="S33" s="17">
        <f t="shared" si="1"/>
        <v>0</v>
      </c>
      <c r="T33" s="32">
        <f t="shared" ref="T33:Y33" si="25">T7-T32</f>
        <v>0</v>
      </c>
      <c r="U33" s="32">
        <f t="shared" si="25"/>
        <v>0</v>
      </c>
      <c r="V33" s="32">
        <f t="shared" si="25"/>
        <v>0</v>
      </c>
      <c r="W33" s="32">
        <f t="shared" si="25"/>
        <v>0</v>
      </c>
      <c r="X33" s="32">
        <f t="shared" si="25"/>
        <v>0</v>
      </c>
      <c r="Y33" s="70">
        <f t="shared" si="25"/>
        <v>0</v>
      </c>
    </row>
    <row r="34" spans="1:25" s="7" customFormat="1" ht="14.25" customHeight="1" x14ac:dyDescent="0.15">
      <c r="A34" s="59"/>
      <c r="B34" s="59"/>
      <c r="C34" s="57"/>
      <c r="D34" s="57"/>
      <c r="E34" s="57"/>
      <c r="F34" s="57"/>
      <c r="G34" s="57"/>
      <c r="H34" s="56"/>
      <c r="I34" s="42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s="5" customFormat="1" ht="14.25" customHeight="1" x14ac:dyDescent="0.15">
      <c r="A35" s="60"/>
      <c r="B35" s="60"/>
      <c r="C35" s="57"/>
      <c r="D35" s="57"/>
      <c r="E35" s="57"/>
      <c r="F35" s="57"/>
      <c r="G35" s="57"/>
      <c r="H35" s="85" t="s">
        <v>31</v>
      </c>
      <c r="I35" s="86"/>
      <c r="J35" s="86"/>
      <c r="K35" s="77">
        <f>L35+S35</f>
        <v>0</v>
      </c>
      <c r="L35" s="77">
        <f>SUM(M35:R35)</f>
        <v>0</v>
      </c>
      <c r="M35" s="78">
        <f t="shared" ref="M35:R35" si="26">SUM(M36:M45)</f>
        <v>0</v>
      </c>
      <c r="N35" s="78">
        <f t="shared" si="26"/>
        <v>0</v>
      </c>
      <c r="O35" s="78">
        <f t="shared" si="26"/>
        <v>0</v>
      </c>
      <c r="P35" s="78">
        <f t="shared" si="26"/>
        <v>0</v>
      </c>
      <c r="Q35" s="78">
        <f t="shared" si="26"/>
        <v>0</v>
      </c>
      <c r="R35" s="78">
        <f t="shared" si="26"/>
        <v>0</v>
      </c>
      <c r="S35" s="77">
        <f>SUM(T35:Y35)</f>
        <v>0</v>
      </c>
      <c r="T35" s="79">
        <f t="shared" ref="T35:Y35" si="27">SUM(T36:T45)</f>
        <v>0</v>
      </c>
      <c r="U35" s="78">
        <f t="shared" si="27"/>
        <v>0</v>
      </c>
      <c r="V35" s="78">
        <f t="shared" si="27"/>
        <v>0</v>
      </c>
      <c r="W35" s="78">
        <f t="shared" si="27"/>
        <v>0</v>
      </c>
      <c r="X35" s="78">
        <f t="shared" si="27"/>
        <v>0</v>
      </c>
      <c r="Y35" s="80">
        <f t="shared" si="27"/>
        <v>0</v>
      </c>
    </row>
    <row r="36" spans="1:25" ht="14.25" customHeight="1" x14ac:dyDescent="0.15">
      <c r="A36" s="58"/>
      <c r="B36" s="58"/>
      <c r="C36" s="57"/>
      <c r="D36" s="57" t="s">
        <v>34</v>
      </c>
      <c r="E36" s="57" t="s">
        <v>34</v>
      </c>
      <c r="F36" s="57"/>
      <c r="G36" s="64" t="s">
        <v>77</v>
      </c>
      <c r="H36" s="90">
        <v>713000</v>
      </c>
      <c r="I36" s="91"/>
      <c r="J36" s="44" t="s">
        <v>19</v>
      </c>
      <c r="K36" s="17">
        <f t="shared" ref="K36:K41" si="28">L36+S36</f>
        <v>0</v>
      </c>
      <c r="L36" s="17">
        <f t="shared" ref="L36:L41" si="29">SUM(M36:R36)</f>
        <v>0</v>
      </c>
      <c r="M36" s="32"/>
      <c r="N36" s="33"/>
      <c r="O36" s="33"/>
      <c r="P36" s="33"/>
      <c r="Q36" s="33"/>
      <c r="R36" s="34"/>
      <c r="S36" s="17">
        <f t="shared" ref="S36:S41" si="30">SUM(T36:Y36)</f>
        <v>0</v>
      </c>
      <c r="T36" s="32"/>
      <c r="U36" s="33"/>
      <c r="V36" s="33"/>
      <c r="W36" s="33"/>
      <c r="X36" s="33"/>
      <c r="Y36" s="35"/>
    </row>
    <row r="37" spans="1:25" ht="14.25" customHeight="1" x14ac:dyDescent="0.15">
      <c r="A37" s="58"/>
      <c r="B37" s="58"/>
      <c r="C37" s="57"/>
      <c r="D37" s="57" t="s">
        <v>34</v>
      </c>
      <c r="E37" s="57" t="s">
        <v>34</v>
      </c>
      <c r="F37" s="57"/>
      <c r="G37" s="64" t="s">
        <v>78</v>
      </c>
      <c r="H37" s="92"/>
      <c r="I37" s="93"/>
      <c r="J37" s="45" t="s">
        <v>20</v>
      </c>
      <c r="K37" s="17">
        <f t="shared" si="28"/>
        <v>0</v>
      </c>
      <c r="L37" s="17">
        <f t="shared" si="29"/>
        <v>0</v>
      </c>
      <c r="M37" s="32"/>
      <c r="N37" s="33"/>
      <c r="O37" s="33"/>
      <c r="P37" s="33"/>
      <c r="Q37" s="33"/>
      <c r="R37" s="34"/>
      <c r="S37" s="17">
        <f t="shared" si="30"/>
        <v>0</v>
      </c>
      <c r="T37" s="32"/>
      <c r="U37" s="33"/>
      <c r="V37" s="33"/>
      <c r="W37" s="33"/>
      <c r="X37" s="33"/>
      <c r="Y37" s="35"/>
    </row>
    <row r="38" spans="1:25" ht="14.25" customHeight="1" x14ac:dyDescent="0.15">
      <c r="A38" s="58"/>
      <c r="B38" s="58"/>
      <c r="C38" s="57"/>
      <c r="D38" s="57" t="s">
        <v>34</v>
      </c>
      <c r="E38" s="57" t="s">
        <v>34</v>
      </c>
      <c r="F38" s="57"/>
      <c r="G38" s="64" t="s">
        <v>79</v>
      </c>
      <c r="H38" s="99">
        <v>716000</v>
      </c>
      <c r="I38" s="100"/>
      <c r="J38" s="45" t="s">
        <v>21</v>
      </c>
      <c r="K38" s="17">
        <f t="shared" si="28"/>
        <v>0</v>
      </c>
      <c r="L38" s="17">
        <f t="shared" si="29"/>
        <v>0</v>
      </c>
      <c r="M38" s="32"/>
      <c r="N38" s="33"/>
      <c r="O38" s="33"/>
      <c r="P38" s="33"/>
      <c r="Q38" s="33"/>
      <c r="R38" s="34"/>
      <c r="S38" s="17">
        <f t="shared" si="30"/>
        <v>0</v>
      </c>
      <c r="T38" s="32"/>
      <c r="U38" s="33"/>
      <c r="V38" s="33"/>
      <c r="W38" s="33"/>
      <c r="X38" s="33"/>
      <c r="Y38" s="35"/>
    </row>
    <row r="39" spans="1:25" ht="14.25" customHeight="1" x14ac:dyDescent="0.15">
      <c r="A39" s="58"/>
      <c r="B39" s="58"/>
      <c r="C39" s="57"/>
      <c r="D39" s="57" t="s">
        <v>34</v>
      </c>
      <c r="E39" s="57" t="s">
        <v>34</v>
      </c>
      <c r="F39" s="57"/>
      <c r="G39" s="64" t="s">
        <v>80</v>
      </c>
      <c r="H39" s="88">
        <v>717000</v>
      </c>
      <c r="I39" s="89"/>
      <c r="J39" s="45" t="s">
        <v>22</v>
      </c>
      <c r="K39" s="17">
        <f t="shared" si="28"/>
        <v>0</v>
      </c>
      <c r="L39" s="17">
        <f t="shared" si="29"/>
        <v>0</v>
      </c>
      <c r="M39" s="32"/>
      <c r="N39" s="33"/>
      <c r="O39" s="33"/>
      <c r="P39" s="33"/>
      <c r="Q39" s="33"/>
      <c r="R39" s="34"/>
      <c r="S39" s="17">
        <f t="shared" si="30"/>
        <v>0</v>
      </c>
      <c r="T39" s="32"/>
      <c r="U39" s="33"/>
      <c r="V39" s="33"/>
      <c r="W39" s="33"/>
      <c r="X39" s="33"/>
      <c r="Y39" s="35"/>
    </row>
    <row r="40" spans="1:25" ht="14.25" customHeight="1" x14ac:dyDescent="0.15">
      <c r="A40" s="58"/>
      <c r="B40" s="58"/>
      <c r="C40" s="57"/>
      <c r="D40" s="57" t="s">
        <v>35</v>
      </c>
      <c r="E40" s="57" t="s">
        <v>34</v>
      </c>
      <c r="F40" s="57"/>
      <c r="G40" s="64" t="s">
        <v>81</v>
      </c>
      <c r="H40" s="88">
        <v>719000</v>
      </c>
      <c r="I40" s="89"/>
      <c r="J40" s="45" t="s">
        <v>23</v>
      </c>
      <c r="K40" s="17">
        <f t="shared" si="28"/>
        <v>0</v>
      </c>
      <c r="L40" s="17">
        <f t="shared" si="29"/>
        <v>0</v>
      </c>
      <c r="M40" s="32"/>
      <c r="N40" s="33"/>
      <c r="O40" s="33"/>
      <c r="P40" s="33"/>
      <c r="Q40" s="33"/>
      <c r="R40" s="34"/>
      <c r="S40" s="17">
        <f t="shared" si="30"/>
        <v>0</v>
      </c>
      <c r="T40" s="32"/>
      <c r="U40" s="33"/>
      <c r="V40" s="33"/>
      <c r="W40" s="33"/>
      <c r="X40" s="33"/>
      <c r="Y40" s="35"/>
    </row>
    <row r="41" spans="1:25" ht="14.25" customHeight="1" x14ac:dyDescent="0.15">
      <c r="A41" s="58"/>
      <c r="B41" s="58"/>
      <c r="C41" s="57"/>
      <c r="D41" s="57" t="s">
        <v>35</v>
      </c>
      <c r="E41" s="57" t="s">
        <v>34</v>
      </c>
      <c r="F41" s="57"/>
      <c r="G41" s="64" t="s">
        <v>82</v>
      </c>
      <c r="H41" s="87"/>
      <c r="I41" s="88"/>
      <c r="J41" s="46" t="s">
        <v>45</v>
      </c>
      <c r="K41" s="27">
        <f t="shared" si="28"/>
        <v>0</v>
      </c>
      <c r="L41" s="27">
        <f t="shared" si="29"/>
        <v>0</v>
      </c>
      <c r="M41" s="47"/>
      <c r="N41" s="48"/>
      <c r="O41" s="48"/>
      <c r="P41" s="48"/>
      <c r="Q41" s="48"/>
      <c r="R41" s="49"/>
      <c r="S41" s="27">
        <f t="shared" si="30"/>
        <v>0</v>
      </c>
      <c r="T41" s="47"/>
      <c r="U41" s="48"/>
      <c r="V41" s="48"/>
      <c r="W41" s="48"/>
      <c r="X41" s="48"/>
      <c r="Y41" s="50"/>
    </row>
    <row r="42" spans="1:25" ht="14.25" customHeight="1" x14ac:dyDescent="0.15">
      <c r="A42" s="58"/>
      <c r="B42" s="58"/>
      <c r="C42" s="57"/>
      <c r="D42" s="57" t="s">
        <v>35</v>
      </c>
      <c r="E42" s="57" t="s">
        <v>34</v>
      </c>
      <c r="F42" s="57"/>
      <c r="G42" s="64" t="s">
        <v>83</v>
      </c>
      <c r="H42" s="87"/>
      <c r="I42" s="88"/>
      <c r="J42" s="46" t="s">
        <v>46</v>
      </c>
      <c r="K42" s="17">
        <f>L42+S42</f>
        <v>0</v>
      </c>
      <c r="L42" s="17">
        <f>SUM(M42:R42)</f>
        <v>0</v>
      </c>
      <c r="M42" s="32"/>
      <c r="N42" s="33"/>
      <c r="O42" s="33"/>
      <c r="P42" s="33"/>
      <c r="Q42" s="33"/>
      <c r="R42" s="34"/>
      <c r="S42" s="17">
        <f>SUM(T42:Y42)</f>
        <v>0</v>
      </c>
      <c r="T42" s="32"/>
      <c r="U42" s="33"/>
      <c r="V42" s="33"/>
      <c r="W42" s="33"/>
      <c r="X42" s="33"/>
      <c r="Y42" s="35"/>
    </row>
    <row r="43" spans="1:25" ht="14.25" customHeight="1" x14ac:dyDescent="0.15">
      <c r="A43" s="58"/>
      <c r="B43" s="58"/>
      <c r="C43" s="57"/>
      <c r="D43" s="57" t="s">
        <v>35</v>
      </c>
      <c r="E43" s="57" t="s">
        <v>34</v>
      </c>
      <c r="F43" s="57"/>
      <c r="G43" s="64" t="s">
        <v>84</v>
      </c>
      <c r="H43" s="87"/>
      <c r="I43" s="88"/>
      <c r="J43" s="46" t="s">
        <v>47</v>
      </c>
      <c r="K43" s="17">
        <f>L43+S43</f>
        <v>0</v>
      </c>
      <c r="L43" s="17">
        <f>SUM(M43:R43)</f>
        <v>0</v>
      </c>
      <c r="M43" s="32"/>
      <c r="N43" s="33"/>
      <c r="O43" s="33"/>
      <c r="P43" s="33"/>
      <c r="Q43" s="33"/>
      <c r="R43" s="34"/>
      <c r="S43" s="17">
        <f>SUM(T43:Y43)</f>
        <v>0</v>
      </c>
      <c r="T43" s="32"/>
      <c r="U43" s="33"/>
      <c r="V43" s="33"/>
      <c r="W43" s="33"/>
      <c r="X43" s="33"/>
      <c r="Y43" s="35"/>
    </row>
    <row r="44" spans="1:25" ht="14.25" customHeight="1" x14ac:dyDescent="0.15">
      <c r="A44" s="58"/>
      <c r="B44" s="58"/>
      <c r="C44" s="57"/>
      <c r="D44" s="57" t="s">
        <v>35</v>
      </c>
      <c r="E44" s="57" t="s">
        <v>34</v>
      </c>
      <c r="F44" s="57"/>
      <c r="G44" s="64" t="s">
        <v>85</v>
      </c>
      <c r="H44" s="87"/>
      <c r="I44" s="88"/>
      <c r="J44" s="46" t="s">
        <v>48</v>
      </c>
      <c r="K44" s="17">
        <f>L44+S44</f>
        <v>0</v>
      </c>
      <c r="L44" s="17">
        <f>SUM(M44:R44)</f>
        <v>0</v>
      </c>
      <c r="M44" s="32"/>
      <c r="N44" s="33"/>
      <c r="O44" s="33"/>
      <c r="P44" s="33"/>
      <c r="Q44" s="33"/>
      <c r="R44" s="34"/>
      <c r="S44" s="17">
        <f>SUM(T44:Y44)</f>
        <v>0</v>
      </c>
      <c r="T44" s="32"/>
      <c r="U44" s="33"/>
      <c r="V44" s="33"/>
      <c r="W44" s="33"/>
      <c r="X44" s="33"/>
      <c r="Y44" s="35"/>
    </row>
    <row r="45" spans="1:25" ht="14.25" customHeight="1" x14ac:dyDescent="0.15">
      <c r="A45" s="61"/>
      <c r="B45" s="61"/>
      <c r="C45" s="62"/>
      <c r="D45" s="62" t="s">
        <v>35</v>
      </c>
      <c r="E45" s="62" t="s">
        <v>34</v>
      </c>
      <c r="F45" s="62"/>
      <c r="G45" s="62" t="s">
        <v>86</v>
      </c>
      <c r="H45" s="87"/>
      <c r="I45" s="88"/>
      <c r="J45" s="46" t="s">
        <v>49</v>
      </c>
      <c r="K45" s="51">
        <f>L45+S45</f>
        <v>0</v>
      </c>
      <c r="L45" s="51">
        <f>SUM(M45:R45)</f>
        <v>0</v>
      </c>
      <c r="M45" s="52"/>
      <c r="N45" s="53"/>
      <c r="O45" s="53"/>
      <c r="P45" s="53"/>
      <c r="Q45" s="53"/>
      <c r="R45" s="54"/>
      <c r="S45" s="51">
        <f>SUM(T45:Y45)</f>
        <v>0</v>
      </c>
      <c r="T45" s="52"/>
      <c r="U45" s="53"/>
      <c r="V45" s="53"/>
      <c r="W45" s="53"/>
      <c r="X45" s="53"/>
      <c r="Y45" s="55"/>
    </row>
    <row r="46" spans="1:25" x14ac:dyDescent="0.15">
      <c r="A46" s="14"/>
      <c r="C46" s="14"/>
    </row>
  </sheetData>
  <mergeCells count="44">
    <mergeCell ref="H2:I2"/>
    <mergeCell ref="M2:Q2"/>
    <mergeCell ref="H42:I42"/>
    <mergeCell ref="H43:I43"/>
    <mergeCell ref="H44:I44"/>
    <mergeCell ref="H45:I45"/>
    <mergeCell ref="H25:J25"/>
    <mergeCell ref="H31:J31"/>
    <mergeCell ref="H38:I38"/>
    <mergeCell ref="H32:J32"/>
    <mergeCell ref="H33:J33"/>
    <mergeCell ref="H35:J35"/>
    <mergeCell ref="H4:J4"/>
    <mergeCell ref="I23:J23"/>
    <mergeCell ref="I24:J24"/>
    <mergeCell ref="I20:J20"/>
    <mergeCell ref="I14:J14"/>
    <mergeCell ref="H17:J17"/>
    <mergeCell ref="H18:J18"/>
    <mergeCell ref="I22:J22"/>
    <mergeCell ref="H19:H24"/>
    <mergeCell ref="H5:J5"/>
    <mergeCell ref="H6:J6"/>
    <mergeCell ref="H7:J7"/>
    <mergeCell ref="H8:J8"/>
    <mergeCell ref="H9:J9"/>
    <mergeCell ref="H11:J11"/>
    <mergeCell ref="I12:J12"/>
    <mergeCell ref="H10:J10"/>
    <mergeCell ref="H41:I41"/>
    <mergeCell ref="H26:J26"/>
    <mergeCell ref="H27:J27"/>
    <mergeCell ref="H28:J28"/>
    <mergeCell ref="H29:J29"/>
    <mergeCell ref="H30:J30"/>
    <mergeCell ref="I15:J15"/>
    <mergeCell ref="I19:J19"/>
    <mergeCell ref="H39:I39"/>
    <mergeCell ref="H40:I40"/>
    <mergeCell ref="H36:I37"/>
    <mergeCell ref="I13:J13"/>
    <mergeCell ref="H12:H16"/>
    <mergeCell ref="I16:J16"/>
    <mergeCell ref="I21:J21"/>
  </mergeCells>
  <phoneticPr fontId="1"/>
  <dataValidations disablePrompts="1" count="1">
    <dataValidation type="whole" allowBlank="1" showInputMessage="1" showErrorMessage="1" sqref="M26:R34 M36:R45 M6:R16 M18:R24 T36:Y45 T6:Y16 T18:Y24 T26:Y34">
      <formula1>-99999999999</formula1>
      <formula2>99999999999</formula2>
    </dataValidation>
  </dataValidations>
  <pageMargins left="0.75" right="0.39370078740157483" top="0.59055118110236227" bottom="0.39370078740157483" header="0.31496062992125984" footer="0.31496062992125984"/>
  <pageSetup paperSize="12" orientation="landscape" verticalDpi="15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9"/>
  <sheetViews>
    <sheetView zoomScale="265" zoomScaleNormal="265" workbookViewId="0">
      <selection activeCell="B7" sqref="B7"/>
    </sheetView>
  </sheetViews>
  <sheetFormatPr defaultRowHeight="13.5" x14ac:dyDescent="0.15"/>
  <cols>
    <col min="1" max="1" width="13.75" style="81" bestFit="1" customWidth="1"/>
    <col min="2" max="2" width="26.5" style="81" bestFit="1" customWidth="1"/>
    <col min="3" max="3" width="19.25" style="81" bestFit="1" customWidth="1"/>
    <col min="4" max="16384" width="9" style="81"/>
  </cols>
  <sheetData>
    <row r="1" spans="1:4" x14ac:dyDescent="0.15">
      <c r="A1" s="81" t="s">
        <v>102</v>
      </c>
      <c r="B1" s="82">
        <v>46097</v>
      </c>
    </row>
    <row r="2" spans="1:4" x14ac:dyDescent="0.15">
      <c r="A2" s="81" t="s">
        <v>103</v>
      </c>
      <c r="B2" s="83">
        <v>1</v>
      </c>
    </row>
    <row r="3" spans="1:4" x14ac:dyDescent="0.15">
      <c r="A3" s="81" t="s">
        <v>104</v>
      </c>
      <c r="B3" s="81" t="s">
        <v>109</v>
      </c>
    </row>
    <row r="4" spans="1:4" x14ac:dyDescent="0.15">
      <c r="A4" s="81" t="s">
        <v>105</v>
      </c>
      <c r="B4" s="81" t="s">
        <v>110</v>
      </c>
    </row>
    <row r="5" spans="1:4" x14ac:dyDescent="0.15">
      <c r="A5" s="81" t="s">
        <v>106</v>
      </c>
      <c r="B5" s="84">
        <v>2025</v>
      </c>
    </row>
    <row r="6" spans="1:4" x14ac:dyDescent="0.15">
      <c r="A6" s="81" t="s">
        <v>107</v>
      </c>
      <c r="B6" s="84" t="s">
        <v>108</v>
      </c>
    </row>
    <row r="7" spans="1:4" x14ac:dyDescent="0.15">
      <c r="A7" s="81" t="s">
        <v>111</v>
      </c>
      <c r="B7" s="84" t="s">
        <v>112</v>
      </c>
    </row>
    <row r="8" spans="1:4" x14ac:dyDescent="0.15">
      <c r="A8" s="81" t="s">
        <v>113</v>
      </c>
      <c r="B8" s="84" t="s">
        <v>114</v>
      </c>
      <c r="C8" s="81" t="str">
        <f>IF(ISNUMBER(FIND(",", $B$8)), LEFT($B$8, FIND(",", $B$8) - 1), "")</f>
        <v>○○○○○○事業部</v>
      </c>
      <c r="D8" s="81" t="str">
        <f>IF(ISNUMBER(FIND(",", $B$8)), TEXT(MID($B$8, FIND(",", $B$8) + 1, LEN($B$8)), "0.0%"), "")</f>
        <v>50.0%</v>
      </c>
    </row>
    <row r="9" spans="1:4" x14ac:dyDescent="0.15">
      <c r="B9" s="84" t="s">
        <v>115</v>
      </c>
      <c r="C9" s="81" t="str">
        <f>IF(ISNUMBER(FIND(",", $B9)), LEFT($B9, FIND(",", $B9) - 1), "")</f>
        <v>△△△△△△事業部</v>
      </c>
      <c r="D9" s="81" t="str">
        <f>IF(ISNUMBER(FIND(",", $B9)), TEXT(MID($B9, FIND(",", $B9) + 1, LEN($B9)), "0.0%"), "")</f>
        <v>30.0%</v>
      </c>
    </row>
  </sheetData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ショップ経費予算</vt:lpstr>
      <vt:lpstr>Settings</vt:lpstr>
      <vt:lpstr>ショップ経費予算!Print_Titles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本山敦士</cp:lastModifiedBy>
  <cp:revision/>
  <cp:lastPrinted>2008-07-08T10:08:16Z</cp:lastPrinted>
  <dcterms:created xsi:type="dcterms:W3CDTF">2008-07-03T04:25:12Z</dcterms:created>
  <dcterms:modified xsi:type="dcterms:W3CDTF">2026-06-26T08:50:40Z</dcterms:modified>
  <cp:category/>
</cp:coreProperties>
</file>