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00017\source\repos\BudgetManagement\BudgetManagement\Templates\"/>
    </mc:Choice>
  </mc:AlternateContent>
  <bookViews>
    <workbookView xWindow="0" yWindow="0" windowWidth="20490" windowHeight="8355"/>
  </bookViews>
  <sheets>
    <sheet name="部門別経費予算" sheetId="4" r:id="rId1"/>
    <sheet name="Settings" sheetId="5" r:id="rId2"/>
  </sheets>
  <calcPr calcId="162913"/>
</workbook>
</file>

<file path=xl/calcChain.xml><?xml version="1.0" encoding="utf-8"?>
<calcChain xmlns="http://schemas.openxmlformats.org/spreadsheetml/2006/main">
  <c r="M2" i="4" l="1"/>
  <c r="I2" i="4"/>
  <c r="G1" i="4"/>
  <c r="S23" i="4" l="1"/>
  <c r="L23" i="4"/>
  <c r="S60" i="4"/>
  <c r="L60" i="4"/>
  <c r="K60" i="4" s="1"/>
  <c r="K23" i="4" l="1"/>
  <c r="M5" i="4"/>
  <c r="N5" i="4"/>
  <c r="O5" i="4"/>
  <c r="P5" i="4"/>
  <c r="Q5" i="4"/>
  <c r="R5" i="4"/>
  <c r="T5" i="4"/>
  <c r="U5" i="4"/>
  <c r="V5" i="4"/>
  <c r="W5" i="4"/>
  <c r="X5" i="4"/>
  <c r="Y5" i="4"/>
  <c r="L6" i="4"/>
  <c r="S6" i="4"/>
  <c r="L7" i="4"/>
  <c r="S7" i="4"/>
  <c r="L8" i="4"/>
  <c r="S8" i="4"/>
  <c r="L9" i="4"/>
  <c r="S9" i="4"/>
  <c r="L10" i="4"/>
  <c r="S10" i="4"/>
  <c r="L11" i="4"/>
  <c r="S11" i="4"/>
  <c r="L12" i="4"/>
  <c r="S12" i="4"/>
  <c r="L13" i="4"/>
  <c r="S13" i="4"/>
  <c r="M14" i="4"/>
  <c r="N14" i="4"/>
  <c r="O14" i="4"/>
  <c r="P14" i="4"/>
  <c r="Q14" i="4"/>
  <c r="R14" i="4"/>
  <c r="T14" i="4"/>
  <c r="U14" i="4"/>
  <c r="V14" i="4"/>
  <c r="W14" i="4"/>
  <c r="X14" i="4"/>
  <c r="Y14" i="4"/>
  <c r="L15" i="4"/>
  <c r="S15" i="4"/>
  <c r="L16" i="4"/>
  <c r="S16" i="4"/>
  <c r="M17" i="4"/>
  <c r="N17" i="4"/>
  <c r="O17" i="4"/>
  <c r="P17" i="4"/>
  <c r="Q17" i="4"/>
  <c r="R17" i="4"/>
  <c r="T17" i="4"/>
  <c r="U17" i="4"/>
  <c r="V17" i="4"/>
  <c r="W17" i="4"/>
  <c r="X17" i="4"/>
  <c r="Y17" i="4"/>
  <c r="L18" i="4"/>
  <c r="S18" i="4"/>
  <c r="L19" i="4"/>
  <c r="S19" i="4"/>
  <c r="L20" i="4"/>
  <c r="S20" i="4"/>
  <c r="M21" i="4"/>
  <c r="N21" i="4"/>
  <c r="O21" i="4"/>
  <c r="P21" i="4"/>
  <c r="Q21" i="4"/>
  <c r="R21" i="4"/>
  <c r="T21" i="4"/>
  <c r="U21" i="4"/>
  <c r="V21" i="4"/>
  <c r="W21" i="4"/>
  <c r="X21" i="4"/>
  <c r="Y21" i="4"/>
  <c r="L22" i="4"/>
  <c r="S22" i="4"/>
  <c r="L24" i="4"/>
  <c r="S24" i="4"/>
  <c r="L25" i="4"/>
  <c r="S25" i="4"/>
  <c r="L28" i="4"/>
  <c r="S28" i="4"/>
  <c r="L29" i="4"/>
  <c r="S29" i="4"/>
  <c r="L30" i="4"/>
  <c r="S30" i="4"/>
  <c r="L31" i="4"/>
  <c r="S31" i="4"/>
  <c r="L32" i="4"/>
  <c r="S32" i="4"/>
  <c r="L33" i="4"/>
  <c r="S33" i="4"/>
  <c r="L34" i="4"/>
  <c r="S34" i="4"/>
  <c r="L35" i="4"/>
  <c r="S35" i="4"/>
  <c r="L36" i="4"/>
  <c r="S36" i="4"/>
  <c r="L37" i="4"/>
  <c r="S37" i="4"/>
  <c r="L38" i="4"/>
  <c r="S38" i="4"/>
  <c r="L39" i="4"/>
  <c r="S39" i="4"/>
  <c r="L40" i="4"/>
  <c r="S40" i="4"/>
  <c r="L41" i="4"/>
  <c r="S41" i="4"/>
  <c r="L42" i="4"/>
  <c r="S42" i="4"/>
  <c r="L43" i="4"/>
  <c r="S43" i="4"/>
  <c r="L44" i="4"/>
  <c r="S44" i="4"/>
  <c r="L45" i="4"/>
  <c r="S45" i="4"/>
  <c r="M46" i="4"/>
  <c r="N46" i="4"/>
  <c r="O46" i="4"/>
  <c r="P46" i="4"/>
  <c r="Q46" i="4"/>
  <c r="R46" i="4"/>
  <c r="T46" i="4"/>
  <c r="U46" i="4"/>
  <c r="V46" i="4"/>
  <c r="W46" i="4"/>
  <c r="X46" i="4"/>
  <c r="Y46" i="4"/>
  <c r="M47" i="4"/>
  <c r="N47" i="4"/>
  <c r="O47" i="4"/>
  <c r="P47" i="4"/>
  <c r="Q47" i="4"/>
  <c r="R47" i="4"/>
  <c r="T47" i="4"/>
  <c r="U47" i="4"/>
  <c r="V47" i="4"/>
  <c r="W47" i="4"/>
  <c r="X47" i="4"/>
  <c r="Y47" i="4"/>
  <c r="M48" i="4"/>
  <c r="N48" i="4"/>
  <c r="O48" i="4"/>
  <c r="P48" i="4"/>
  <c r="Q48" i="4"/>
  <c r="R48" i="4"/>
  <c r="T48" i="4"/>
  <c r="U48" i="4"/>
  <c r="V48" i="4"/>
  <c r="W48" i="4"/>
  <c r="X48" i="4"/>
  <c r="Y48" i="4"/>
  <c r="L49" i="4"/>
  <c r="S49" i="4"/>
  <c r="L50" i="4"/>
  <c r="S50" i="4"/>
  <c r="L51" i="4"/>
  <c r="S51" i="4"/>
  <c r="L52" i="4"/>
  <c r="S52" i="4"/>
  <c r="L53" i="4"/>
  <c r="S53" i="4"/>
  <c r="L54" i="4"/>
  <c r="S54" i="4"/>
  <c r="L55" i="4"/>
  <c r="S55" i="4"/>
  <c r="L56" i="4"/>
  <c r="S56" i="4"/>
  <c r="L57" i="4"/>
  <c r="S57" i="4"/>
  <c r="M58" i="4"/>
  <c r="N58" i="4"/>
  <c r="O58" i="4"/>
  <c r="P58" i="4"/>
  <c r="Q58" i="4"/>
  <c r="R58" i="4"/>
  <c r="T58" i="4"/>
  <c r="U58" i="4"/>
  <c r="V58" i="4"/>
  <c r="W58" i="4"/>
  <c r="X58" i="4"/>
  <c r="Y58" i="4"/>
  <c r="M59" i="4"/>
  <c r="N59" i="4"/>
  <c r="O59" i="4"/>
  <c r="P59" i="4"/>
  <c r="Q59" i="4"/>
  <c r="R59" i="4"/>
  <c r="T59" i="4"/>
  <c r="U59" i="4"/>
  <c r="V59" i="4"/>
  <c r="W59" i="4"/>
  <c r="X59" i="4"/>
  <c r="Y59" i="4"/>
  <c r="L62" i="4"/>
  <c r="S62" i="4"/>
  <c r="L65" i="4"/>
  <c r="S65" i="4"/>
  <c r="L66" i="4"/>
  <c r="S66" i="4"/>
  <c r="L67" i="4"/>
  <c r="S67" i="4"/>
  <c r="L68" i="4"/>
  <c r="S68" i="4"/>
  <c r="N70" i="4"/>
  <c r="O70" i="4"/>
  <c r="P70" i="4"/>
  <c r="Q70" i="4"/>
  <c r="R70" i="4"/>
  <c r="T70" i="4"/>
  <c r="X70" i="4"/>
  <c r="Y70" i="4"/>
  <c r="L69" i="4"/>
  <c r="S69" i="4"/>
  <c r="M70" i="4"/>
  <c r="U70" i="4"/>
  <c r="V70" i="4"/>
  <c r="W70" i="4"/>
  <c r="L73" i="4"/>
  <c r="S73" i="4"/>
  <c r="L74" i="4"/>
  <c r="S74" i="4"/>
  <c r="L76" i="4"/>
  <c r="S76" i="4"/>
  <c r="L77" i="4"/>
  <c r="S77" i="4"/>
  <c r="L78" i="4"/>
  <c r="S78" i="4"/>
  <c r="L79" i="4"/>
  <c r="S79" i="4"/>
  <c r="L80" i="4"/>
  <c r="S80" i="4"/>
  <c r="M81" i="4"/>
  <c r="N81" i="4"/>
  <c r="O81" i="4"/>
  <c r="P81" i="4"/>
  <c r="Q81" i="4"/>
  <c r="R81" i="4"/>
  <c r="T81" i="4"/>
  <c r="U81" i="4"/>
  <c r="V81" i="4"/>
  <c r="W81" i="4"/>
  <c r="X81" i="4"/>
  <c r="Y81" i="4"/>
  <c r="M82" i="4"/>
  <c r="N82" i="4"/>
  <c r="O82" i="4"/>
  <c r="P82" i="4"/>
  <c r="Q82" i="4"/>
  <c r="R82" i="4"/>
  <c r="T82" i="4"/>
  <c r="U82" i="4"/>
  <c r="V82" i="4"/>
  <c r="W82" i="4"/>
  <c r="X82" i="4"/>
  <c r="Y82" i="4"/>
  <c r="L83" i="4"/>
  <c r="S83" i="4"/>
  <c r="L84" i="4"/>
  <c r="S84" i="4"/>
  <c r="L85" i="4"/>
  <c r="S85" i="4"/>
  <c r="L86" i="4"/>
  <c r="S86" i="4"/>
  <c r="L87" i="4"/>
  <c r="S87" i="4"/>
  <c r="L88" i="4"/>
  <c r="S88" i="4"/>
  <c r="M89" i="4"/>
  <c r="N89" i="4"/>
  <c r="O89" i="4"/>
  <c r="P89" i="4"/>
  <c r="Q89" i="4"/>
  <c r="R89" i="4"/>
  <c r="T89" i="4"/>
  <c r="U89" i="4"/>
  <c r="V89" i="4"/>
  <c r="W89" i="4"/>
  <c r="X89" i="4"/>
  <c r="Y89" i="4"/>
  <c r="M90" i="4"/>
  <c r="N90" i="4"/>
  <c r="O90" i="4"/>
  <c r="P90" i="4"/>
  <c r="Q90" i="4"/>
  <c r="R90" i="4"/>
  <c r="T90" i="4"/>
  <c r="U90" i="4"/>
  <c r="V90" i="4"/>
  <c r="W90" i="4"/>
  <c r="X90" i="4"/>
  <c r="Y90" i="4"/>
  <c r="X91" i="4" l="1"/>
  <c r="V27" i="4"/>
  <c r="V61" i="4" s="1"/>
  <c r="V64" i="4" s="1"/>
  <c r="V71" i="4" s="1"/>
  <c r="R91" i="4"/>
  <c r="K20" i="4"/>
  <c r="K10" i="4"/>
  <c r="K77" i="4"/>
  <c r="K6" i="4"/>
  <c r="K18" i="4"/>
  <c r="K12" i="4"/>
  <c r="X26" i="4"/>
  <c r="K65" i="4"/>
  <c r="R26" i="4"/>
  <c r="R27" i="4"/>
  <c r="R61" i="4" s="1"/>
  <c r="R63" i="4" s="1"/>
  <c r="K8" i="4"/>
  <c r="Q91" i="4"/>
  <c r="V91" i="4"/>
  <c r="W26" i="4"/>
  <c r="S90" i="4"/>
  <c r="Y91" i="4"/>
  <c r="P91" i="4"/>
  <c r="K80" i="4"/>
  <c r="K76" i="4"/>
  <c r="K13" i="4"/>
  <c r="K85" i="4"/>
  <c r="W91" i="4"/>
  <c r="N91" i="4"/>
  <c r="K69" i="4"/>
  <c r="K62" i="4"/>
  <c r="K55" i="4"/>
  <c r="K51" i="4"/>
  <c r="K42" i="4"/>
  <c r="K38" i="4"/>
  <c r="K34" i="4"/>
  <c r="N26" i="4"/>
  <c r="P26" i="4"/>
  <c r="K78" i="4"/>
  <c r="K66" i="4"/>
  <c r="U26" i="4"/>
  <c r="K16" i="4"/>
  <c r="K87" i="4"/>
  <c r="K83" i="4"/>
  <c r="L5" i="4"/>
  <c r="K45" i="4"/>
  <c r="K30" i="4"/>
  <c r="K25" i="4"/>
  <c r="K50" i="4"/>
  <c r="K29" i="4"/>
  <c r="K11" i="4"/>
  <c r="K33" i="4"/>
  <c r="K22" i="4"/>
  <c r="K54" i="4"/>
  <c r="K37" i="4"/>
  <c r="K9" i="4"/>
  <c r="K41" i="4"/>
  <c r="U91" i="4"/>
  <c r="Y27" i="4"/>
  <c r="Y61" i="4" s="1"/>
  <c r="K7" i="4"/>
  <c r="W27" i="4"/>
  <c r="W61" i="4" s="1"/>
  <c r="V26" i="4"/>
  <c r="U27" i="4"/>
  <c r="U61" i="4" s="1"/>
  <c r="L17" i="4"/>
  <c r="K79" i="4"/>
  <c r="L48" i="4"/>
  <c r="Y26" i="4"/>
  <c r="O91" i="4"/>
  <c r="K88" i="4"/>
  <c r="K84" i="4"/>
  <c r="S82" i="4"/>
  <c r="K19" i="4"/>
  <c r="K86" i="4"/>
  <c r="K67" i="4"/>
  <c r="K52" i="4"/>
  <c r="K43" i="4"/>
  <c r="K24" i="4"/>
  <c r="P27" i="4"/>
  <c r="P61" i="4" s="1"/>
  <c r="P64" i="4" s="1"/>
  <c r="P71" i="4" s="1"/>
  <c r="S59" i="4"/>
  <c r="L82" i="4"/>
  <c r="K56" i="4"/>
  <c r="K39" i="4"/>
  <c r="K35" i="4"/>
  <c r="K31" i="4"/>
  <c r="K74" i="4"/>
  <c r="N27" i="4"/>
  <c r="N61" i="4" s="1"/>
  <c r="N64" i="4" s="1"/>
  <c r="N71" i="4" s="1"/>
  <c r="L90" i="4"/>
  <c r="K68" i="4"/>
  <c r="K57" i="4"/>
  <c r="K53" i="4"/>
  <c r="K49" i="4"/>
  <c r="K44" i="4"/>
  <c r="K40" i="4"/>
  <c r="K36" i="4"/>
  <c r="K32" i="4"/>
  <c r="K28" i="4"/>
  <c r="K15" i="4"/>
  <c r="S47" i="4"/>
  <c r="L59" i="4"/>
  <c r="S48" i="4"/>
  <c r="L47" i="4"/>
  <c r="L21" i="4"/>
  <c r="S17" i="4"/>
  <c r="T26" i="4"/>
  <c r="S5" i="4"/>
  <c r="T91" i="4"/>
  <c r="M91" i="4"/>
  <c r="K73" i="4"/>
  <c r="X27" i="4"/>
  <c r="X61" i="4" s="1"/>
  <c r="T27" i="4"/>
  <c r="S21" i="4"/>
  <c r="S14" i="4"/>
  <c r="Q26" i="4"/>
  <c r="Q27" i="4"/>
  <c r="Q61" i="4" s="1"/>
  <c r="O26" i="4"/>
  <c r="O27" i="4"/>
  <c r="O61" i="4" s="1"/>
  <c r="L14" i="4"/>
  <c r="M26" i="4"/>
  <c r="M27" i="4"/>
  <c r="M61" i="4" s="1"/>
  <c r="K47" i="4" l="1"/>
  <c r="K90" i="4"/>
  <c r="V63" i="4"/>
  <c r="K17" i="4"/>
  <c r="P63" i="4"/>
  <c r="K48" i="4"/>
  <c r="R64" i="4"/>
  <c r="R71" i="4" s="1"/>
  <c r="K5" i="4"/>
  <c r="N63" i="4"/>
  <c r="K82" i="4"/>
  <c r="O63" i="4"/>
  <c r="O64" i="4"/>
  <c r="O71" i="4" s="1"/>
  <c r="X64" i="4"/>
  <c r="X71" i="4" s="1"/>
  <c r="X63" i="4"/>
  <c r="K21" i="4"/>
  <c r="Q63" i="4"/>
  <c r="Q64" i="4"/>
  <c r="Q71" i="4" s="1"/>
  <c r="W63" i="4"/>
  <c r="W64" i="4"/>
  <c r="W71" i="4" s="1"/>
  <c r="L27" i="4"/>
  <c r="K14" i="4"/>
  <c r="U63" i="4"/>
  <c r="U64" i="4"/>
  <c r="U71" i="4" s="1"/>
  <c r="Y63" i="4"/>
  <c r="Y64" i="4"/>
  <c r="Y71" i="4" s="1"/>
  <c r="S27" i="4"/>
  <c r="T61" i="4"/>
  <c r="K59" i="4"/>
  <c r="K27" i="4" l="1"/>
  <c r="S61" i="4"/>
  <c r="S63" i="4" s="1"/>
  <c r="T64" i="4"/>
  <c r="T71" i="4" s="1"/>
  <c r="T63" i="4"/>
  <c r="M63" i="4"/>
  <c r="L61" i="4"/>
  <c r="M64" i="4"/>
  <c r="M71" i="4" s="1"/>
  <c r="K61" i="4" l="1"/>
  <c r="K63" i="4" s="1"/>
  <c r="L63" i="4"/>
  <c r="L64" i="4"/>
  <c r="L71" i="4"/>
  <c r="S71" i="4"/>
  <c r="S64" i="4"/>
  <c r="K64" i="4" l="1"/>
  <c r="K71" i="4"/>
</calcChain>
</file>

<file path=xl/sharedStrings.xml><?xml version="1.0" encoding="utf-8"?>
<sst xmlns="http://schemas.openxmlformats.org/spreadsheetml/2006/main" count="506" uniqueCount="153">
  <si>
    <t>科目ｺｰﾄﾞ</t>
    <rPh sb="0" eb="2">
      <t>カモク</t>
    </rPh>
    <phoneticPr fontId="3"/>
  </si>
  <si>
    <t>細</t>
    <rPh sb="0" eb="1">
      <t>ホソ</t>
    </rPh>
    <phoneticPr fontId="3"/>
  </si>
  <si>
    <t>科    目   名</t>
    <rPh sb="0" eb="6">
      <t>カモク</t>
    </rPh>
    <rPh sb="9" eb="10">
      <t>ナ</t>
    </rPh>
    <phoneticPr fontId="3"/>
  </si>
  <si>
    <t>上 期 計</t>
    <rPh sb="0" eb="3">
      <t>カミキ</t>
    </rPh>
    <rPh sb="4" eb="5">
      <t>ケイ</t>
    </rPh>
    <phoneticPr fontId="3"/>
  </si>
  <si>
    <t>下 期 計</t>
    <rPh sb="0" eb="3">
      <t>シモキ</t>
    </rPh>
    <rPh sb="4" eb="5">
      <t>ケイ</t>
    </rPh>
    <phoneticPr fontId="3"/>
  </si>
  <si>
    <t>00</t>
    <phoneticPr fontId="5"/>
  </si>
  <si>
    <t>01</t>
    <phoneticPr fontId="5"/>
  </si>
  <si>
    <t>（ 基 準 内 ）</t>
    <rPh sb="2" eb="5">
      <t>キジュン</t>
    </rPh>
    <rPh sb="6" eb="7">
      <t>ナイ</t>
    </rPh>
    <phoneticPr fontId="3"/>
  </si>
  <si>
    <t>02</t>
    <phoneticPr fontId="5"/>
  </si>
  <si>
    <t>( 基 準 外 )</t>
    <rPh sb="2" eb="5">
      <t>キジュン</t>
    </rPh>
    <rPh sb="6" eb="7">
      <t>ガイ</t>
    </rPh>
    <phoneticPr fontId="5"/>
  </si>
  <si>
    <t>00</t>
    <phoneticPr fontId="5"/>
  </si>
  <si>
    <t>賞            与</t>
    <phoneticPr fontId="3"/>
  </si>
  <si>
    <t>Ｆ　Ａ　給　料</t>
    <rPh sb="4" eb="5">
      <t>キュウ</t>
    </rPh>
    <rPh sb="6" eb="7">
      <t>リョウ</t>
    </rPh>
    <phoneticPr fontId="3"/>
  </si>
  <si>
    <t>雑            給</t>
    <phoneticPr fontId="3"/>
  </si>
  <si>
    <t xml:space="preserve"> 退    職     金 </t>
    <phoneticPr fontId="3"/>
  </si>
  <si>
    <t>法 定 福 利 費</t>
    <phoneticPr fontId="3"/>
  </si>
  <si>
    <t>00</t>
    <phoneticPr fontId="5"/>
  </si>
  <si>
    <t>賄             費</t>
    <phoneticPr fontId="3"/>
  </si>
  <si>
    <t>社  宅   経  費</t>
    <rPh sb="0" eb="4">
      <t>シャタク</t>
    </rPh>
    <phoneticPr fontId="3"/>
  </si>
  <si>
    <t>公  租   公  課</t>
    <phoneticPr fontId="3"/>
  </si>
  <si>
    <t>通     信      費</t>
    <phoneticPr fontId="3"/>
  </si>
  <si>
    <t>家              賃</t>
    <phoneticPr fontId="3"/>
  </si>
  <si>
    <t>賃      借     料</t>
    <phoneticPr fontId="3"/>
  </si>
  <si>
    <t>00</t>
    <phoneticPr fontId="5"/>
  </si>
  <si>
    <t>事 務 消耗品費</t>
    <phoneticPr fontId="3"/>
  </si>
  <si>
    <t>雑 消  耗 品 費</t>
    <phoneticPr fontId="3"/>
  </si>
  <si>
    <t>00</t>
    <phoneticPr fontId="5"/>
  </si>
  <si>
    <t>事 務  代 行 費</t>
    <phoneticPr fontId="3"/>
  </si>
  <si>
    <t>修      繕     費</t>
    <phoneticPr fontId="3"/>
  </si>
  <si>
    <t>建 物  管 理 費</t>
    <phoneticPr fontId="3"/>
  </si>
  <si>
    <t>信 用  調 査 費</t>
    <phoneticPr fontId="3"/>
  </si>
  <si>
    <t>調 査  研 究 費</t>
    <phoneticPr fontId="3"/>
  </si>
  <si>
    <t>図      書     費</t>
    <phoneticPr fontId="3"/>
  </si>
  <si>
    <t>会      議     費</t>
    <phoneticPr fontId="3"/>
  </si>
  <si>
    <t>寄      付     金</t>
    <phoneticPr fontId="3"/>
  </si>
  <si>
    <t>負      担     金</t>
    <phoneticPr fontId="3"/>
  </si>
  <si>
    <t>雑              費</t>
    <phoneticPr fontId="3"/>
  </si>
  <si>
    <t>751000</t>
    <phoneticPr fontId="5"/>
  </si>
  <si>
    <t>旅 費 交 通 費</t>
    <phoneticPr fontId="3"/>
  </si>
  <si>
    <t>（  国       内  ）</t>
    <rPh sb="3" eb="12">
      <t>コクナイ</t>
    </rPh>
    <phoneticPr fontId="5"/>
  </si>
  <si>
    <t>（  海       外  ）</t>
    <rPh sb="3" eb="12">
      <t>カイガイ</t>
    </rPh>
    <phoneticPr fontId="5"/>
  </si>
  <si>
    <t>交      際     費</t>
    <phoneticPr fontId="3"/>
  </si>
  <si>
    <t>運      送     費</t>
    <phoneticPr fontId="3"/>
  </si>
  <si>
    <t>広 告 宣 伝 費</t>
    <phoneticPr fontId="3"/>
  </si>
  <si>
    <t>00</t>
    <phoneticPr fontId="5"/>
  </si>
  <si>
    <t>売      出      費</t>
    <phoneticPr fontId="3"/>
  </si>
  <si>
    <t>店   頭   経  費</t>
    <phoneticPr fontId="3"/>
  </si>
  <si>
    <t>海 外 提 携 費</t>
    <phoneticPr fontId="3"/>
  </si>
  <si>
    <t>貸倒引当繰入</t>
    <phoneticPr fontId="3"/>
  </si>
  <si>
    <t>共通経費負担額</t>
    <phoneticPr fontId="3"/>
  </si>
  <si>
    <t>合計</t>
    <rPh sb="0" eb="2">
      <t>ゴウケイ</t>
    </rPh>
    <phoneticPr fontId="5"/>
  </si>
  <si>
    <t>TA間接部門費</t>
    <phoneticPr fontId="3"/>
  </si>
  <si>
    <t>本部費負担額１</t>
    <phoneticPr fontId="3"/>
  </si>
  <si>
    <t>本部費負担額２</t>
    <phoneticPr fontId="3"/>
  </si>
  <si>
    <t>使用設備費２</t>
    <rPh sb="3" eb="4">
      <t>ビ</t>
    </rPh>
    <phoneticPr fontId="3"/>
  </si>
  <si>
    <t xml:space="preserve"> 事     業     税</t>
    <phoneticPr fontId="3"/>
  </si>
  <si>
    <t xml:space="preserve"> 減 価 償 却 費</t>
    <phoneticPr fontId="3"/>
  </si>
  <si>
    <t>総合計</t>
    <rPh sb="0" eb="3">
      <t>ソウゴウケイ</t>
    </rPh>
    <phoneticPr fontId="5"/>
  </si>
  <si>
    <t>返品調整引当繰入</t>
    <rPh sb="0" eb="2">
      <t>ヘンピン</t>
    </rPh>
    <rPh sb="2" eb="4">
      <t>チョウセイ</t>
    </rPh>
    <rPh sb="4" eb="6">
      <t>ヒキア</t>
    </rPh>
    <rPh sb="6" eb="8">
      <t>クリイ</t>
    </rPh>
    <phoneticPr fontId="3"/>
  </si>
  <si>
    <t>640000</t>
    <phoneticPr fontId="5"/>
  </si>
  <si>
    <t>販売コミッション</t>
    <rPh sb="0" eb="2">
      <t>ハンバイ</t>
    </rPh>
    <phoneticPr fontId="3"/>
  </si>
  <si>
    <t>受   取   利   息</t>
    <rPh sb="0" eb="5">
      <t>ウケト</t>
    </rPh>
    <rPh sb="8" eb="13">
      <t>リソク</t>
    </rPh>
    <phoneticPr fontId="5"/>
  </si>
  <si>
    <t>受 取 配 当 金</t>
    <rPh sb="0" eb="1">
      <t>ウケ</t>
    </rPh>
    <rPh sb="2" eb="3">
      <t>トリ</t>
    </rPh>
    <rPh sb="4" eb="9">
      <t>ハイトウキン</t>
    </rPh>
    <phoneticPr fontId="5"/>
  </si>
  <si>
    <t>有価証券売却益</t>
    <rPh sb="0" eb="2">
      <t>ユウカ</t>
    </rPh>
    <rPh sb="2" eb="4">
      <t>ショウケン</t>
    </rPh>
    <rPh sb="4" eb="6">
      <t>バイキャク</t>
    </rPh>
    <rPh sb="6" eb="7">
      <t>エキ</t>
    </rPh>
    <phoneticPr fontId="5"/>
  </si>
  <si>
    <t>受取地代家賃</t>
    <rPh sb="0" eb="1">
      <t>ウケ</t>
    </rPh>
    <rPh sb="1" eb="2">
      <t>トリ</t>
    </rPh>
    <rPh sb="2" eb="3">
      <t>チ</t>
    </rPh>
    <rPh sb="3" eb="4">
      <t>ダイ</t>
    </rPh>
    <rPh sb="4" eb="5">
      <t>ヤ</t>
    </rPh>
    <rPh sb="5" eb="6">
      <t>チンギン</t>
    </rPh>
    <phoneticPr fontId="5"/>
  </si>
  <si>
    <t>雑      収      入</t>
    <rPh sb="0" eb="1">
      <t>ザッシュ</t>
    </rPh>
    <rPh sb="7" eb="15">
      <t>シュウニュウ</t>
    </rPh>
    <phoneticPr fontId="5"/>
  </si>
  <si>
    <t>支   払  利   息</t>
    <rPh sb="0" eb="5">
      <t>シハライ</t>
    </rPh>
    <rPh sb="7" eb="12">
      <t>リソク</t>
    </rPh>
    <phoneticPr fontId="5"/>
  </si>
  <si>
    <t>利 子  割 引 料</t>
    <rPh sb="0" eb="3">
      <t>リシ</t>
    </rPh>
    <rPh sb="5" eb="8">
      <t>ワリビキ</t>
    </rPh>
    <rPh sb="9" eb="10">
      <t>リョウ</t>
    </rPh>
    <phoneticPr fontId="5"/>
  </si>
  <si>
    <t>有価証券売却損</t>
    <rPh sb="0" eb="4">
      <t>ユウカショウケン</t>
    </rPh>
    <rPh sb="4" eb="6">
      <t>バイキャク</t>
    </rPh>
    <rPh sb="6" eb="7">
      <t>ソン</t>
    </rPh>
    <phoneticPr fontId="5"/>
  </si>
  <si>
    <t>貸倒引当金繰入</t>
    <rPh sb="0" eb="2">
      <t>カシダオ</t>
    </rPh>
    <rPh sb="2" eb="5">
      <t>ヒキアテキン</t>
    </rPh>
    <rPh sb="5" eb="7">
      <t>クリイ</t>
    </rPh>
    <phoneticPr fontId="5"/>
  </si>
  <si>
    <t>雑     損     失</t>
    <rPh sb="0" eb="1">
      <t>ザツ</t>
    </rPh>
    <rPh sb="6" eb="7">
      <t>ソン</t>
    </rPh>
    <rPh sb="12" eb="13">
      <t>シツ</t>
    </rPh>
    <phoneticPr fontId="5"/>
  </si>
  <si>
    <t>社   内   金  利</t>
    <rPh sb="0" eb="5">
      <t>シャナイ</t>
    </rPh>
    <rPh sb="8" eb="12">
      <t>キンリ</t>
    </rPh>
    <phoneticPr fontId="5"/>
  </si>
  <si>
    <t>00</t>
    <phoneticPr fontId="5"/>
  </si>
  <si>
    <t>713000</t>
    <phoneticPr fontId="5"/>
  </si>
  <si>
    <t>社 員 教 育 費</t>
    <phoneticPr fontId="3"/>
  </si>
  <si>
    <t>保     険      料</t>
    <phoneticPr fontId="3"/>
  </si>
  <si>
    <t>00</t>
    <phoneticPr fontId="5"/>
  </si>
  <si>
    <t>水 道  光 熱 費</t>
    <phoneticPr fontId="3"/>
  </si>
  <si>
    <t>02</t>
    <phoneticPr fontId="5"/>
  </si>
  <si>
    <t>00</t>
    <phoneticPr fontId="5"/>
  </si>
  <si>
    <t>00</t>
    <phoneticPr fontId="5"/>
  </si>
  <si>
    <t>00</t>
    <phoneticPr fontId="5"/>
  </si>
  <si>
    <t>829000</t>
    <phoneticPr fontId="5"/>
  </si>
  <si>
    <t>Y</t>
  </si>
  <si>
    <t>Y</t>
    <phoneticPr fontId="3"/>
  </si>
  <si>
    <t>データ出力</t>
    <rPh sb="3" eb="5">
      <t>シュツリョク</t>
    </rPh>
    <phoneticPr fontId="3"/>
  </si>
  <si>
    <t>マスタチェック</t>
    <phoneticPr fontId="3"/>
  </si>
  <si>
    <t>入力制御１</t>
    <rPh sb="0" eb="2">
      <t>ニュウリョク</t>
    </rPh>
    <rPh sb="2" eb="4">
      <t>セイギョ</t>
    </rPh>
    <phoneticPr fontId="3"/>
  </si>
  <si>
    <t>入力制御２</t>
    <rPh sb="0" eb="2">
      <t>ニュウリョク</t>
    </rPh>
    <rPh sb="2" eb="4">
      <t>セイギョ</t>
    </rPh>
    <phoneticPr fontId="3"/>
  </si>
  <si>
    <t>入力制御３</t>
    <rPh sb="0" eb="2">
      <t>ニュウリョク</t>
    </rPh>
    <rPh sb="2" eb="4">
      <t>セイギョ</t>
    </rPh>
    <phoneticPr fontId="3"/>
  </si>
  <si>
    <t>データ入力</t>
    <rPh sb="3" eb="5">
      <t>ニュウリョク</t>
    </rPh>
    <phoneticPr fontId="3"/>
  </si>
  <si>
    <t>小計１</t>
    <rPh sb="0" eb="2">
      <t>ショウケイ</t>
    </rPh>
    <phoneticPr fontId="3"/>
  </si>
  <si>
    <t>計</t>
    <phoneticPr fontId="3"/>
  </si>
  <si>
    <t>一　　般　　管　　理　　費</t>
    <rPh sb="0" eb="1">
      <t>イチ</t>
    </rPh>
    <rPh sb="3" eb="4">
      <t>パン</t>
    </rPh>
    <rPh sb="6" eb="7">
      <t>カン</t>
    </rPh>
    <rPh sb="9" eb="10">
      <t>リ</t>
    </rPh>
    <rPh sb="12" eb="13">
      <t>ヒ</t>
    </rPh>
    <phoneticPr fontId="5"/>
  </si>
  <si>
    <t>人　　　件　　　費</t>
    <rPh sb="0" eb="1">
      <t>ヒト</t>
    </rPh>
    <rPh sb="4" eb="5">
      <t>ケン</t>
    </rPh>
    <rPh sb="8" eb="9">
      <t>ヒ</t>
    </rPh>
    <phoneticPr fontId="5"/>
  </si>
  <si>
    <t>販　　売　　費</t>
    <phoneticPr fontId="3"/>
  </si>
  <si>
    <t>間接経費</t>
    <phoneticPr fontId="3"/>
  </si>
  <si>
    <t>営業外費用</t>
    <rPh sb="0" eb="1">
      <t>エイ</t>
    </rPh>
    <rPh sb="1" eb="2">
      <t>ギョウ</t>
    </rPh>
    <rPh sb="2" eb="3">
      <t>ガイ</t>
    </rPh>
    <rPh sb="3" eb="4">
      <t>ヒ</t>
    </rPh>
    <rPh sb="4" eb="5">
      <t>ヨウ</t>
    </rPh>
    <phoneticPr fontId="5"/>
  </si>
  <si>
    <t>営業外収益</t>
  </si>
  <si>
    <t>給           料</t>
    <phoneticPr fontId="3"/>
  </si>
  <si>
    <t>年  計</t>
    <rPh sb="0" eb="1">
      <t>ネン</t>
    </rPh>
    <rPh sb="3" eb="4">
      <t>ケイ</t>
    </rPh>
    <phoneticPr fontId="3"/>
  </si>
  <si>
    <t>経費①</t>
    <rPh sb="0" eb="2">
      <t>ケイヒ</t>
    </rPh>
    <phoneticPr fontId="5"/>
  </si>
  <si>
    <t>711AAA</t>
    <phoneticPr fontId="3"/>
  </si>
  <si>
    <t>762AAA</t>
    <phoneticPr fontId="3"/>
  </si>
  <si>
    <t>経費②</t>
    <rPh sb="0" eb="2">
      <t>ケイヒ</t>
    </rPh>
    <phoneticPr fontId="3"/>
  </si>
  <si>
    <t>営業外収益</t>
    <rPh sb="0" eb="2">
      <t>エイギョウ</t>
    </rPh>
    <rPh sb="2" eb="3">
      <t>ガイ</t>
    </rPh>
    <rPh sb="3" eb="5">
      <t>シュウエキ</t>
    </rPh>
    <phoneticPr fontId="3"/>
  </si>
  <si>
    <t>811AAA</t>
    <phoneticPr fontId="3"/>
  </si>
  <si>
    <t>821BBB</t>
    <phoneticPr fontId="3"/>
  </si>
  <si>
    <t>811BBB</t>
    <phoneticPr fontId="3"/>
  </si>
  <si>
    <t>営業外費用</t>
    <rPh sb="0" eb="2">
      <t>エイギョウ</t>
    </rPh>
    <rPh sb="2" eb="3">
      <t>ガイ</t>
    </rPh>
    <rPh sb="3" eb="5">
      <t>ヒヨウ</t>
    </rPh>
    <phoneticPr fontId="3"/>
  </si>
  <si>
    <t>711BBB</t>
    <phoneticPr fontId="3"/>
  </si>
  <si>
    <t>人件費</t>
    <rPh sb="0" eb="3">
      <t>ジンケンヒ</t>
    </rPh>
    <phoneticPr fontId="3"/>
  </si>
  <si>
    <t>731BBB</t>
    <phoneticPr fontId="3"/>
  </si>
  <si>
    <t>管理費</t>
    <rPh sb="0" eb="3">
      <t>カンリヒ</t>
    </rPh>
    <phoneticPr fontId="3"/>
  </si>
  <si>
    <t>751BBB</t>
    <phoneticPr fontId="3"/>
  </si>
  <si>
    <t>販売費</t>
    <rPh sb="0" eb="3">
      <t>ハンバイヒ</t>
    </rPh>
    <phoneticPr fontId="3"/>
  </si>
  <si>
    <t>BM0030</t>
    <phoneticPr fontId="3"/>
  </si>
  <si>
    <t>BM0020</t>
    <phoneticPr fontId="3"/>
  </si>
  <si>
    <t>厚    生    費</t>
    <phoneticPr fontId="3"/>
  </si>
  <si>
    <t>通    勤    費</t>
    <phoneticPr fontId="3"/>
  </si>
  <si>
    <t>厚  生  費  （計）</t>
    <phoneticPr fontId="3"/>
  </si>
  <si>
    <t>法定福利費(FA)</t>
    <phoneticPr fontId="3"/>
  </si>
  <si>
    <t>通  勤  費  （計）</t>
    <phoneticPr fontId="3"/>
  </si>
  <si>
    <t>厚生費(FA)</t>
    <phoneticPr fontId="3"/>
  </si>
  <si>
    <t>通勤費(FA)</t>
    <phoneticPr fontId="3"/>
  </si>
  <si>
    <t>BM0010</t>
    <phoneticPr fontId="3"/>
  </si>
  <si>
    <t>法定福利費 （計）</t>
    <phoneticPr fontId="3"/>
  </si>
  <si>
    <t>723000</t>
    <phoneticPr fontId="3"/>
  </si>
  <si>
    <t>724000</t>
    <phoneticPr fontId="3"/>
  </si>
  <si>
    <t>求     人     費</t>
    <rPh sb="0" eb="1">
      <t>モトム</t>
    </rPh>
    <rPh sb="6" eb="7">
      <t>ヒト</t>
    </rPh>
    <rPh sb="12" eb="13">
      <t>ヒ</t>
    </rPh>
    <phoneticPr fontId="3"/>
  </si>
  <si>
    <t>株式報酬費用</t>
    <phoneticPr fontId="3"/>
  </si>
  <si>
    <t xml:space="preserve"> 4月</t>
    <phoneticPr fontId="3"/>
  </si>
  <si>
    <t xml:space="preserve"> 5月</t>
    <phoneticPr fontId="5"/>
  </si>
  <si>
    <t xml:space="preserve"> 6月</t>
  </si>
  <si>
    <t xml:space="preserve"> 7月</t>
  </si>
  <si>
    <t xml:space="preserve"> 8月</t>
  </si>
  <si>
    <t xml:space="preserve"> 9月</t>
  </si>
  <si>
    <t xml:space="preserve"> 10月</t>
    <phoneticPr fontId="3"/>
  </si>
  <si>
    <t xml:space="preserve"> 11月</t>
    <phoneticPr fontId="5"/>
  </si>
  <si>
    <t xml:space="preserve"> 12月</t>
    <phoneticPr fontId="5"/>
  </si>
  <si>
    <t xml:space="preserve"> 1月</t>
    <phoneticPr fontId="5"/>
  </si>
  <si>
    <t xml:space="preserve"> 2月</t>
    <phoneticPr fontId="5"/>
  </si>
  <si>
    <t xml:space="preserve"> 3月</t>
    <phoneticPr fontId="5"/>
  </si>
  <si>
    <t>会社</t>
    <rPh sb="0" eb="2">
      <t>カイシャ</t>
    </rPh>
    <phoneticPr fontId="3"/>
  </si>
  <si>
    <t>課</t>
    <rPh sb="0" eb="1">
      <t>カ</t>
    </rPh>
    <phoneticPr fontId="3"/>
  </si>
  <si>
    <t>年度</t>
    <rPh sb="0" eb="2">
      <t>ネンド</t>
    </rPh>
    <phoneticPr fontId="3"/>
  </si>
  <si>
    <t>業務</t>
    <rPh sb="0" eb="2">
      <t>ギョウム</t>
    </rPh>
    <phoneticPr fontId="3"/>
  </si>
  <si>
    <t>アプリVer.</t>
    <phoneticPr fontId="3"/>
  </si>
  <si>
    <t>ファイル生成日</t>
    <rPh sb="4" eb="7">
      <t>セイセイビ</t>
    </rPh>
    <phoneticPr fontId="3"/>
  </si>
  <si>
    <t>FY330</t>
    <phoneticPr fontId="3"/>
  </si>
  <si>
    <t>業務名</t>
    <rPh sb="0" eb="2">
      <t>ギョウム</t>
    </rPh>
    <rPh sb="2" eb="3">
      <t>メイ</t>
    </rPh>
    <phoneticPr fontId="3"/>
  </si>
  <si>
    <t>年月</t>
    <rPh sb="0" eb="2">
      <t>ネンゲツ</t>
    </rPh>
    <phoneticPr fontId="3"/>
  </si>
  <si>
    <t>課</t>
    <rPh sb="0" eb="1">
      <t>カ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</si>
</sst>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name val="ＭＳ Ｐゴシック"/>
      <charset val="128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47"/>
      </left>
      <right style="thin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209">
    <xf numFmtId="0" fontId="0" fillId="0" borderId="0" xfId="0"/>
    <xf numFmtId="38" fontId="4" fillId="2" borderId="1" xfId="1" applyFont="1" applyFill="1" applyBorder="1" applyAlignment="1" applyProtection="1">
      <alignment vertical="center"/>
    </xf>
    <xf numFmtId="38" fontId="4" fillId="2" borderId="2" xfId="1" applyFont="1" applyFill="1" applyBorder="1" applyAlignment="1" applyProtection="1">
      <alignment vertical="center"/>
    </xf>
    <xf numFmtId="38" fontId="4" fillId="2" borderId="3" xfId="1" applyFont="1" applyFill="1" applyBorder="1" applyAlignment="1" applyProtection="1">
      <alignment vertical="center"/>
    </xf>
    <xf numFmtId="38" fontId="4" fillId="2" borderId="4" xfId="1" applyFont="1" applyFill="1" applyBorder="1" applyAlignment="1" applyProtection="1">
      <alignment vertical="center"/>
    </xf>
    <xf numFmtId="38" fontId="4" fillId="2" borderId="5" xfId="1" applyFont="1" applyFill="1" applyBorder="1" applyAlignment="1" applyProtection="1">
      <alignment vertical="center"/>
    </xf>
    <xf numFmtId="38" fontId="4" fillId="2" borderId="6" xfId="1" applyFont="1" applyFill="1" applyBorder="1" applyAlignment="1" applyProtection="1">
      <alignment vertical="center"/>
    </xf>
    <xf numFmtId="38" fontId="4" fillId="2" borderId="7" xfId="1" applyFont="1" applyFill="1" applyBorder="1" applyAlignment="1" applyProtection="1">
      <alignment vertical="center"/>
    </xf>
    <xf numFmtId="38" fontId="4" fillId="2" borderId="8" xfId="1" applyFont="1" applyFill="1" applyBorder="1" applyAlignment="1" applyProtection="1">
      <alignment vertical="center"/>
    </xf>
    <xf numFmtId="38" fontId="4" fillId="2" borderId="9" xfId="1" applyFont="1" applyFill="1" applyBorder="1" applyAlignment="1" applyProtection="1">
      <alignment vertical="center"/>
    </xf>
    <xf numFmtId="38" fontId="4" fillId="2" borderId="10" xfId="1" applyFont="1" applyFill="1" applyBorder="1" applyAlignment="1" applyProtection="1">
      <alignment vertical="center"/>
    </xf>
    <xf numFmtId="38" fontId="4" fillId="2" borderId="11" xfId="1" applyFont="1" applyFill="1" applyBorder="1" applyAlignment="1" applyProtection="1">
      <alignment vertical="center"/>
    </xf>
    <xf numFmtId="38" fontId="4" fillId="2" borderId="12" xfId="1" applyFont="1" applyFill="1" applyBorder="1" applyAlignment="1" applyProtection="1">
      <alignment vertical="center"/>
    </xf>
    <xf numFmtId="38" fontId="4" fillId="2" borderId="13" xfId="1" applyFont="1" applyFill="1" applyBorder="1" applyAlignment="1" applyProtection="1">
      <alignment vertical="center"/>
    </xf>
    <xf numFmtId="38" fontId="4" fillId="2" borderId="14" xfId="1" applyFont="1" applyFill="1" applyBorder="1" applyAlignment="1" applyProtection="1">
      <alignment vertical="center"/>
    </xf>
    <xf numFmtId="38" fontId="4" fillId="2" borderId="15" xfId="1" applyFont="1" applyFill="1" applyBorder="1" applyAlignment="1" applyProtection="1">
      <alignment vertical="center"/>
    </xf>
    <xf numFmtId="38" fontId="4" fillId="2" borderId="16" xfId="1" applyFont="1" applyFill="1" applyBorder="1" applyAlignment="1" applyProtection="1">
      <alignment vertical="center"/>
    </xf>
    <xf numFmtId="38" fontId="4" fillId="2" borderId="17" xfId="1" applyFont="1" applyFill="1" applyBorder="1" applyAlignment="1" applyProtection="1">
      <alignment vertical="center"/>
    </xf>
    <xf numFmtId="38" fontId="4" fillId="2" borderId="18" xfId="1" applyFont="1" applyFill="1" applyBorder="1" applyAlignment="1" applyProtection="1">
      <alignment vertical="center"/>
    </xf>
    <xf numFmtId="49" fontId="4" fillId="3" borderId="19" xfId="1" applyNumberFormat="1" applyFont="1" applyFill="1" applyBorder="1" applyAlignment="1" applyProtection="1">
      <alignment horizontal="center" vertical="center"/>
    </xf>
    <xf numFmtId="49" fontId="4" fillId="3" borderId="20" xfId="1" applyNumberFormat="1" applyFont="1" applyFill="1" applyBorder="1" applyAlignment="1" applyProtection="1">
      <alignment horizontal="center" vertical="center"/>
    </xf>
    <xf numFmtId="49" fontId="4" fillId="3" borderId="21" xfId="1" applyNumberFormat="1" applyFont="1" applyFill="1" applyBorder="1" applyAlignment="1" applyProtection="1">
      <alignment horizontal="center" vertical="center"/>
    </xf>
    <xf numFmtId="49" fontId="4" fillId="3" borderId="15" xfId="1" applyNumberFormat="1" applyFont="1" applyFill="1" applyBorder="1" applyAlignment="1" applyProtection="1">
      <alignment horizontal="center" vertical="center"/>
    </xf>
    <xf numFmtId="49" fontId="4" fillId="3" borderId="22" xfId="1" applyNumberFormat="1" applyFont="1" applyFill="1" applyBorder="1" applyAlignment="1" applyProtection="1">
      <alignment horizontal="center" vertical="center"/>
    </xf>
    <xf numFmtId="49" fontId="2" fillId="3" borderId="19" xfId="1" quotePrefix="1" applyNumberFormat="1" applyFont="1" applyFill="1" applyBorder="1" applyAlignment="1" applyProtection="1">
      <alignment horizontal="center" vertical="center"/>
    </xf>
    <xf numFmtId="49" fontId="2" fillId="3" borderId="20" xfId="1" quotePrefix="1" applyNumberFormat="1" applyFont="1" applyFill="1" applyBorder="1" applyAlignment="1" applyProtection="1">
      <alignment horizontal="center" vertical="center"/>
    </xf>
    <xf numFmtId="49" fontId="2" fillId="3" borderId="21" xfId="1" quotePrefix="1" applyNumberFormat="1" applyFont="1" applyFill="1" applyBorder="1" applyAlignment="1" applyProtection="1">
      <alignment horizontal="center" vertical="center"/>
    </xf>
    <xf numFmtId="49" fontId="2" fillId="3" borderId="23" xfId="1" applyNumberFormat="1" applyFont="1" applyFill="1" applyBorder="1" applyAlignment="1" applyProtection="1">
      <alignment horizontal="center" vertical="center"/>
    </xf>
    <xf numFmtId="49" fontId="2" fillId="3" borderId="22" xfId="1" quotePrefix="1" applyNumberFormat="1" applyFont="1" applyFill="1" applyBorder="1" applyAlignment="1" applyProtection="1">
      <alignment horizontal="center" vertical="center"/>
    </xf>
    <xf numFmtId="0" fontId="0" fillId="0" borderId="0" xfId="0" applyAlignment="1" applyProtection="1"/>
    <xf numFmtId="38" fontId="2" fillId="3" borderId="14" xfId="1" applyFont="1" applyFill="1" applyBorder="1" applyAlignment="1" applyProtection="1">
      <alignment horizontal="center" vertical="center"/>
    </xf>
    <xf numFmtId="38" fontId="2" fillId="3" borderId="2" xfId="1" applyFont="1" applyFill="1" applyBorder="1" applyAlignment="1" applyProtection="1">
      <alignment horizontal="center" vertical="center"/>
    </xf>
    <xf numFmtId="38" fontId="2" fillId="3" borderId="24" xfId="1" applyFont="1" applyFill="1" applyBorder="1" applyAlignment="1" applyProtection="1">
      <alignment horizontal="center" vertical="center"/>
    </xf>
    <xf numFmtId="38" fontId="2" fillId="3" borderId="15" xfId="1" applyFont="1" applyFill="1" applyBorder="1" applyAlignment="1" applyProtection="1">
      <alignment horizontal="center" vertical="center"/>
    </xf>
    <xf numFmtId="38" fontId="2" fillId="3" borderId="3" xfId="1" applyFont="1" applyFill="1" applyBorder="1" applyAlignment="1" applyProtection="1">
      <alignment horizontal="center" vertical="center"/>
    </xf>
    <xf numFmtId="38" fontId="2" fillId="3" borderId="11" xfId="1" applyFont="1" applyFill="1" applyBorder="1" applyAlignment="1" applyProtection="1">
      <alignment horizontal="center" vertical="center"/>
    </xf>
    <xf numFmtId="38" fontId="2" fillId="3" borderId="4" xfId="1" applyFont="1" applyFill="1" applyBorder="1" applyAlignment="1" applyProtection="1">
      <alignment horizontal="center" vertical="center"/>
    </xf>
    <xf numFmtId="38" fontId="2" fillId="3" borderId="5" xfId="1" applyFont="1" applyFill="1" applyBorder="1" applyAlignment="1" applyProtection="1">
      <alignment horizontal="center" vertical="center"/>
    </xf>
    <xf numFmtId="38" fontId="2" fillId="3" borderId="12" xfId="1" applyFont="1" applyFill="1" applyBorder="1" applyAlignment="1" applyProtection="1">
      <alignment horizontal="center" vertical="center"/>
    </xf>
    <xf numFmtId="0" fontId="6" fillId="0" borderId="0" xfId="0" applyFont="1" applyAlignment="1" applyProtection="1"/>
    <xf numFmtId="38" fontId="2" fillId="3" borderId="25" xfId="1" applyFont="1" applyFill="1" applyBorder="1" applyAlignment="1" applyProtection="1">
      <alignment horizontal="center" vertical="center"/>
    </xf>
    <xf numFmtId="38" fontId="2" fillId="3" borderId="26" xfId="1" applyFont="1" applyFill="1" applyBorder="1" applyAlignment="1" applyProtection="1">
      <alignment horizontal="center" vertical="center"/>
    </xf>
    <xf numFmtId="38" fontId="2" fillId="3" borderId="27" xfId="1" applyFont="1" applyFill="1" applyBorder="1" applyAlignment="1" applyProtection="1">
      <alignment horizontal="center" vertical="center"/>
    </xf>
    <xf numFmtId="49" fontId="4" fillId="4" borderId="28" xfId="0" applyNumberFormat="1" applyFont="1" applyFill="1" applyBorder="1" applyAlignment="1" applyProtection="1">
      <alignment vertical="center"/>
    </xf>
    <xf numFmtId="49" fontId="2" fillId="4" borderId="28" xfId="0" applyNumberFormat="1" applyFont="1" applyFill="1" applyBorder="1" applyAlignment="1" applyProtection="1">
      <alignment vertical="center"/>
    </xf>
    <xf numFmtId="0" fontId="2" fillId="4" borderId="28" xfId="0" applyFont="1" applyFill="1" applyBorder="1" applyAlignment="1" applyProtection="1">
      <alignment vertical="center"/>
    </xf>
    <xf numFmtId="0" fontId="4" fillId="4" borderId="28" xfId="0" applyFont="1" applyFill="1" applyBorder="1" applyAlignment="1" applyProtection="1">
      <alignment vertical="center"/>
    </xf>
    <xf numFmtId="38" fontId="4" fillId="4" borderId="30" xfId="1" applyFont="1" applyFill="1" applyBorder="1" applyAlignment="1" applyProtection="1">
      <alignment horizontal="right" vertical="center"/>
      <protection locked="0"/>
    </xf>
    <xf numFmtId="38" fontId="4" fillId="4" borderId="31" xfId="1" applyFont="1" applyFill="1" applyBorder="1" applyAlignment="1" applyProtection="1">
      <alignment horizontal="right" vertical="center"/>
      <protection locked="0"/>
    </xf>
    <xf numFmtId="38" fontId="4" fillId="4" borderId="32" xfId="1" applyFont="1" applyFill="1" applyBorder="1" applyAlignment="1" applyProtection="1">
      <alignment horizontal="right" vertical="center"/>
      <protection locked="0"/>
    </xf>
    <xf numFmtId="38" fontId="4" fillId="4" borderId="33" xfId="1" applyFont="1" applyFill="1" applyBorder="1" applyAlignment="1" applyProtection="1">
      <alignment horizontal="right" vertical="center"/>
      <protection locked="0"/>
    </xf>
    <xf numFmtId="38" fontId="4" fillId="4" borderId="34" xfId="1" applyFont="1" applyFill="1" applyBorder="1" applyAlignment="1" applyProtection="1">
      <alignment horizontal="right" vertical="center"/>
      <protection locked="0"/>
    </xf>
    <xf numFmtId="38" fontId="4" fillId="0" borderId="35" xfId="1" applyFont="1" applyFill="1" applyBorder="1" applyAlignment="1" applyProtection="1">
      <alignment horizontal="right" vertical="center"/>
      <protection locked="0"/>
    </xf>
    <xf numFmtId="38" fontId="4" fillId="0" borderId="30" xfId="1" applyFont="1" applyFill="1" applyBorder="1" applyAlignment="1" applyProtection="1">
      <alignment horizontal="right" vertical="center"/>
      <protection locked="0"/>
    </xf>
    <xf numFmtId="38" fontId="4" fillId="4" borderId="20" xfId="1" applyFont="1" applyFill="1" applyBorder="1" applyAlignment="1" applyProtection="1">
      <alignment horizontal="right" vertical="center"/>
      <protection locked="0"/>
    </xf>
    <xf numFmtId="38" fontId="4" fillId="4" borderId="36" xfId="1" applyFont="1" applyFill="1" applyBorder="1" applyAlignment="1" applyProtection="1">
      <alignment horizontal="right" vertical="center"/>
      <protection locked="0"/>
    </xf>
    <xf numFmtId="38" fontId="4" fillId="4" borderId="35" xfId="1" applyFont="1" applyFill="1" applyBorder="1" applyAlignment="1" applyProtection="1">
      <alignment horizontal="right" vertical="center"/>
      <protection locked="0"/>
    </xf>
    <xf numFmtId="38" fontId="4" fillId="4" borderId="37" xfId="1" applyFont="1" applyFill="1" applyBorder="1" applyAlignment="1" applyProtection="1">
      <alignment horizontal="right" vertical="center"/>
      <protection locked="0"/>
    </xf>
    <xf numFmtId="38" fontId="4" fillId="4" borderId="38" xfId="1" applyFont="1" applyFill="1" applyBorder="1" applyAlignment="1" applyProtection="1">
      <alignment horizontal="right" vertical="center"/>
      <protection locked="0"/>
    </xf>
    <xf numFmtId="38" fontId="4" fillId="4" borderId="21" xfId="1" applyFont="1" applyFill="1" applyBorder="1" applyAlignment="1" applyProtection="1">
      <alignment horizontal="right" vertical="center"/>
      <protection locked="0"/>
    </xf>
    <xf numFmtId="38" fontId="4" fillId="4" borderId="39" xfId="1" applyFont="1" applyFill="1" applyBorder="1" applyAlignment="1" applyProtection="1">
      <alignment horizontal="right" vertical="center"/>
      <protection locked="0"/>
    </xf>
    <xf numFmtId="38" fontId="4" fillId="0" borderId="33" xfId="1" applyFont="1" applyFill="1" applyBorder="1" applyAlignment="1" applyProtection="1">
      <alignment horizontal="right" vertical="center"/>
      <protection locked="0"/>
    </xf>
    <xf numFmtId="38" fontId="4" fillId="4" borderId="40" xfId="1" applyFont="1" applyFill="1" applyBorder="1" applyAlignment="1" applyProtection="1">
      <alignment horizontal="right" vertical="center"/>
      <protection locked="0"/>
    </xf>
    <xf numFmtId="38" fontId="4" fillId="4" borderId="41" xfId="1" applyFont="1" applyFill="1" applyBorder="1" applyAlignment="1" applyProtection="1">
      <alignment horizontal="right" vertical="center"/>
      <protection locked="0"/>
    </xf>
    <xf numFmtId="38" fontId="4" fillId="4" borderId="19" xfId="1" applyFont="1" applyFill="1" applyBorder="1" applyAlignment="1" applyProtection="1">
      <alignment horizontal="right" vertical="center"/>
      <protection locked="0"/>
    </xf>
    <xf numFmtId="49" fontId="4" fillId="4" borderId="43" xfId="0" applyNumberFormat="1" applyFont="1" applyFill="1" applyBorder="1" applyAlignment="1" applyProtection="1">
      <alignment vertical="center"/>
    </xf>
    <xf numFmtId="49" fontId="2" fillId="4" borderId="43" xfId="0" applyNumberFormat="1" applyFont="1" applyFill="1" applyBorder="1" applyAlignment="1" applyProtection="1">
      <alignment vertical="center"/>
    </xf>
    <xf numFmtId="0" fontId="2" fillId="4" borderId="43" xfId="0" applyFont="1" applyFill="1" applyBorder="1" applyAlignment="1" applyProtection="1">
      <alignment vertical="center"/>
    </xf>
    <xf numFmtId="0" fontId="4" fillId="4" borderId="43" xfId="0" applyFont="1" applyFill="1" applyBorder="1" applyAlignment="1" applyProtection="1">
      <alignment vertical="center"/>
    </xf>
    <xf numFmtId="38" fontId="2" fillId="3" borderId="44" xfId="1" applyFont="1" applyFill="1" applyBorder="1" applyAlignment="1" applyProtection="1">
      <alignment horizontal="center" vertical="center"/>
    </xf>
    <xf numFmtId="38" fontId="4" fillId="2" borderId="45" xfId="1" applyFont="1" applyFill="1" applyBorder="1" applyAlignment="1" applyProtection="1">
      <alignment vertical="center"/>
    </xf>
    <xf numFmtId="49" fontId="4" fillId="3" borderId="44" xfId="1" applyNumberFormat="1" applyFont="1" applyFill="1" applyBorder="1" applyAlignment="1" applyProtection="1">
      <alignment horizontal="center" vertical="center"/>
    </xf>
    <xf numFmtId="38" fontId="4" fillId="4" borderId="45" xfId="1" applyFont="1" applyFill="1" applyBorder="1" applyAlignment="1" applyProtection="1">
      <alignment horizontal="right" vertical="center"/>
      <protection locked="0"/>
    </xf>
    <xf numFmtId="38" fontId="2" fillId="3" borderId="46" xfId="1" applyFont="1" applyFill="1" applyBorder="1" applyAlignment="1" applyProtection="1">
      <alignment horizontal="center" vertical="center"/>
    </xf>
    <xf numFmtId="49" fontId="2" fillId="3" borderId="44" xfId="1" applyNumberFormat="1" applyFont="1" applyFill="1" applyBorder="1" applyAlignment="1" applyProtection="1">
      <alignment horizontal="center" vertical="center"/>
    </xf>
    <xf numFmtId="38" fontId="4" fillId="4" borderId="24" xfId="1" applyFont="1" applyFill="1" applyBorder="1" applyAlignment="1" applyProtection="1">
      <alignment horizontal="right" vertical="center"/>
      <protection locked="0"/>
    </xf>
    <xf numFmtId="38" fontId="4" fillId="2" borderId="24" xfId="1" applyFont="1" applyFill="1" applyBorder="1" applyAlignment="1" applyProtection="1">
      <alignment vertical="center"/>
    </xf>
    <xf numFmtId="38" fontId="4" fillId="4" borderId="17" xfId="1" applyFont="1" applyFill="1" applyBorder="1" applyAlignment="1" applyProtection="1">
      <alignment horizontal="right" vertical="center"/>
      <protection locked="0"/>
    </xf>
    <xf numFmtId="49" fontId="4" fillId="3" borderId="3" xfId="1" applyNumberFormat="1" applyFont="1" applyFill="1" applyBorder="1" applyAlignment="1" applyProtection="1">
      <alignment horizontal="center" vertical="center"/>
    </xf>
    <xf numFmtId="49" fontId="4" fillId="3" borderId="4" xfId="1" applyNumberFormat="1" applyFont="1" applyFill="1" applyBorder="1" applyAlignment="1" applyProtection="1">
      <alignment horizontal="center" vertical="center"/>
    </xf>
    <xf numFmtId="49" fontId="4" fillId="3" borderId="12" xfId="1" applyNumberFormat="1" applyFont="1" applyFill="1" applyBorder="1" applyAlignment="1" applyProtection="1">
      <alignment horizontal="center" vertical="center"/>
    </xf>
    <xf numFmtId="38" fontId="2" fillId="3" borderId="45" xfId="1" applyFont="1" applyFill="1" applyBorder="1" applyAlignment="1" applyProtection="1">
      <alignment horizontal="center" vertical="center"/>
    </xf>
    <xf numFmtId="49" fontId="2" fillId="3" borderId="2" xfId="1" quotePrefix="1" applyNumberFormat="1" applyFont="1" applyFill="1" applyBorder="1" applyAlignment="1" applyProtection="1">
      <alignment horizontal="center" vertical="center"/>
    </xf>
    <xf numFmtId="49" fontId="2" fillId="3" borderId="24" xfId="1" quotePrefix="1" applyNumberFormat="1" applyFont="1" applyFill="1" applyBorder="1" applyAlignment="1" applyProtection="1">
      <alignment horizontal="center" vertical="center"/>
    </xf>
    <xf numFmtId="49" fontId="2" fillId="3" borderId="45" xfId="1" quotePrefix="1" applyNumberFormat="1" applyFont="1" applyFill="1" applyBorder="1" applyAlignment="1" applyProtection="1">
      <alignment horizontal="center" vertical="center"/>
    </xf>
    <xf numFmtId="49" fontId="2" fillId="3" borderId="24" xfId="1" applyNumberFormat="1" applyFont="1" applyFill="1" applyBorder="1" applyAlignment="1" applyProtection="1">
      <alignment horizontal="center" vertical="center"/>
    </xf>
    <xf numFmtId="49" fontId="2" fillId="3" borderId="45" xfId="1" applyNumberFormat="1" applyFont="1" applyFill="1" applyBorder="1" applyAlignment="1" applyProtection="1">
      <alignment horizontal="center" vertical="center"/>
    </xf>
    <xf numFmtId="49" fontId="2" fillId="3" borderId="12" xfId="1" applyNumberFormat="1" applyFont="1" applyFill="1" applyBorder="1" applyAlignment="1" applyProtection="1">
      <alignment horizontal="center" vertical="center"/>
    </xf>
    <xf numFmtId="38" fontId="4" fillId="4" borderId="42" xfId="1" applyFont="1" applyFill="1" applyBorder="1" applyAlignment="1" applyProtection="1">
      <alignment horizontal="right" vertical="center"/>
      <protection locked="0"/>
    </xf>
    <xf numFmtId="38" fontId="4" fillId="4" borderId="47" xfId="1" applyFont="1" applyFill="1" applyBorder="1" applyAlignment="1" applyProtection="1">
      <alignment horizontal="right" vertical="center"/>
      <protection locked="0"/>
    </xf>
    <xf numFmtId="38" fontId="4" fillId="2" borderId="47" xfId="1" applyFont="1" applyFill="1" applyBorder="1" applyAlignment="1" applyProtection="1">
      <alignment vertical="center"/>
    </xf>
    <xf numFmtId="38" fontId="4" fillId="2" borderId="29" xfId="1" applyFont="1" applyFill="1" applyBorder="1" applyAlignment="1" applyProtection="1">
      <alignment vertical="center"/>
    </xf>
    <xf numFmtId="38" fontId="4" fillId="4" borderId="48" xfId="1" applyFont="1" applyFill="1" applyBorder="1" applyAlignment="1" applyProtection="1">
      <alignment horizontal="right" vertical="center"/>
      <protection locked="0"/>
    </xf>
    <xf numFmtId="38" fontId="4" fillId="2" borderId="48" xfId="1" applyFont="1" applyFill="1" applyBorder="1" applyAlignment="1" applyProtection="1">
      <alignment vertical="center"/>
    </xf>
    <xf numFmtId="38" fontId="4" fillId="2" borderId="36" xfId="1" applyFont="1" applyFill="1" applyBorder="1" applyAlignment="1" applyProtection="1">
      <alignment vertical="center"/>
    </xf>
    <xf numFmtId="38" fontId="4" fillId="4" borderId="49" xfId="1" applyFont="1" applyFill="1" applyBorder="1" applyAlignment="1" applyProtection="1">
      <alignment horizontal="right" vertical="center"/>
      <protection locked="0"/>
    </xf>
    <xf numFmtId="38" fontId="4" fillId="2" borderId="49" xfId="1" applyFont="1" applyFill="1" applyBorder="1" applyAlignment="1" applyProtection="1">
      <alignment vertical="center"/>
    </xf>
    <xf numFmtId="38" fontId="2" fillId="3" borderId="50" xfId="1" applyFont="1" applyFill="1" applyBorder="1" applyAlignment="1" applyProtection="1">
      <alignment horizontal="center" vertical="center"/>
    </xf>
    <xf numFmtId="38" fontId="2" fillId="3" borderId="51" xfId="1" applyFont="1" applyFill="1" applyBorder="1" applyAlignment="1" applyProtection="1">
      <alignment horizontal="center" vertical="center"/>
    </xf>
    <xf numFmtId="0" fontId="2" fillId="4" borderId="52" xfId="0" applyFont="1" applyFill="1" applyBorder="1" applyAlignment="1" applyProtection="1">
      <alignment horizontal="center" vertical="center"/>
    </xf>
    <xf numFmtId="38" fontId="2" fillId="3" borderId="53" xfId="1" applyFont="1" applyFill="1" applyBorder="1" applyAlignment="1" applyProtection="1">
      <alignment horizontal="center" vertical="center"/>
    </xf>
    <xf numFmtId="38" fontId="2" fillId="3" borderId="54" xfId="1" applyFont="1" applyFill="1" applyBorder="1" applyAlignment="1" applyProtection="1">
      <alignment horizontal="center" vertical="center"/>
    </xf>
    <xf numFmtId="0" fontId="2" fillId="4" borderId="55" xfId="0" applyFont="1" applyFill="1" applyBorder="1" applyAlignment="1" applyProtection="1">
      <alignment horizontal="center" vertical="center"/>
    </xf>
    <xf numFmtId="49" fontId="4" fillId="0" borderId="4" xfId="1" applyNumberFormat="1" applyFont="1" applyFill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49" fontId="4" fillId="0" borderId="15" xfId="1" applyNumberFormat="1" applyFont="1" applyFill="1" applyBorder="1" applyAlignment="1" applyProtection="1">
      <alignment horizontal="center" vertical="center"/>
      <protection locked="0"/>
    </xf>
    <xf numFmtId="49" fontId="4" fillId="0" borderId="11" xfId="1" applyNumberFormat="1" applyFont="1" applyFill="1" applyBorder="1" applyAlignment="1" applyProtection="1">
      <alignment horizontal="center" vertical="center"/>
      <protection locked="0"/>
    </xf>
    <xf numFmtId="49" fontId="2" fillId="0" borderId="7" xfId="1" applyNumberFormat="1" applyFont="1" applyFill="1" applyBorder="1" applyAlignment="1" applyProtection="1">
      <alignment horizontal="center" vertical="center"/>
    </xf>
    <xf numFmtId="38" fontId="4" fillId="4" borderId="56" xfId="1" applyFont="1" applyFill="1" applyBorder="1" applyAlignment="1" applyProtection="1">
      <alignment horizontal="right" vertical="center"/>
      <protection locked="0"/>
    </xf>
    <xf numFmtId="38" fontId="4" fillId="4" borderId="22" xfId="1" applyFont="1" applyFill="1" applyBorder="1" applyAlignment="1" applyProtection="1">
      <alignment horizontal="right" vertical="center"/>
      <protection locked="0"/>
    </xf>
    <xf numFmtId="49" fontId="4" fillId="3" borderId="24" xfId="1" applyNumberFormat="1" applyFont="1" applyFill="1" applyBorder="1" applyAlignment="1" applyProtection="1">
      <alignment horizontal="center" vertical="center"/>
    </xf>
    <xf numFmtId="49" fontId="4" fillId="3" borderId="17" xfId="1" applyNumberFormat="1" applyFont="1" applyFill="1" applyBorder="1" applyAlignment="1" applyProtection="1">
      <alignment horizontal="center" vertical="center"/>
    </xf>
    <xf numFmtId="49" fontId="4" fillId="3" borderId="57" xfId="1" applyNumberFormat="1" applyFont="1" applyFill="1" applyBorder="1" applyAlignment="1" applyProtection="1">
      <alignment horizontal="center" vertical="center"/>
    </xf>
    <xf numFmtId="49" fontId="4" fillId="3" borderId="58" xfId="1" applyNumberFormat="1" applyFont="1" applyFill="1" applyBorder="1" applyAlignment="1" applyProtection="1">
      <alignment horizontal="center" vertical="center"/>
    </xf>
    <xf numFmtId="49" fontId="4" fillId="3" borderId="45" xfId="1" applyNumberFormat="1" applyFont="1" applyFill="1" applyBorder="1" applyAlignment="1" applyProtection="1">
      <alignment horizontal="center" vertical="center"/>
    </xf>
    <xf numFmtId="49" fontId="2" fillId="3" borderId="17" xfId="1" quotePrefix="1" applyNumberFormat="1" applyFont="1" applyFill="1" applyBorder="1" applyAlignment="1" applyProtection="1">
      <alignment horizontal="center" vertical="center"/>
    </xf>
    <xf numFmtId="49" fontId="2" fillId="3" borderId="58" xfId="1" quotePrefix="1" applyNumberFormat="1" applyFont="1" applyFill="1" applyBorder="1" applyAlignment="1" applyProtection="1">
      <alignment horizontal="center" vertical="center"/>
    </xf>
    <xf numFmtId="38" fontId="2" fillId="3" borderId="17" xfId="1" applyFont="1" applyFill="1" applyBorder="1" applyAlignment="1" applyProtection="1">
      <alignment horizontal="center" vertical="center"/>
    </xf>
    <xf numFmtId="38" fontId="2" fillId="3" borderId="58" xfId="1" applyFont="1" applyFill="1" applyBorder="1" applyAlignment="1" applyProtection="1">
      <alignment horizontal="center" vertical="center"/>
    </xf>
    <xf numFmtId="38" fontId="4" fillId="2" borderId="58" xfId="1" applyFont="1" applyFill="1" applyBorder="1" applyAlignment="1" applyProtection="1">
      <alignment vertical="center"/>
    </xf>
    <xf numFmtId="38" fontId="4" fillId="4" borderId="59" xfId="1" applyFont="1" applyFill="1" applyBorder="1" applyAlignment="1" applyProtection="1">
      <alignment horizontal="right" vertical="center"/>
      <protection locked="0"/>
    </xf>
    <xf numFmtId="38" fontId="4" fillId="4" borderId="58" xfId="1" applyFont="1" applyFill="1" applyBorder="1" applyAlignment="1" applyProtection="1">
      <alignment horizontal="right" vertical="center"/>
      <protection locked="0"/>
    </xf>
    <xf numFmtId="38" fontId="4" fillId="2" borderId="60" xfId="1" applyFont="1" applyFill="1" applyBorder="1" applyAlignment="1" applyProtection="1">
      <alignment vertical="center"/>
    </xf>
    <xf numFmtId="38" fontId="4" fillId="2" borderId="61" xfId="1" applyFont="1" applyFill="1" applyBorder="1" applyAlignment="1" applyProtection="1">
      <alignment vertical="center"/>
    </xf>
    <xf numFmtId="38" fontId="4" fillId="2" borderId="62" xfId="1" applyFont="1" applyFill="1" applyBorder="1" applyAlignment="1" applyProtection="1">
      <alignment vertical="center"/>
    </xf>
    <xf numFmtId="49" fontId="2" fillId="3" borderId="61" xfId="1" quotePrefix="1" applyNumberFormat="1" applyFont="1" applyFill="1" applyBorder="1" applyAlignment="1" applyProtection="1">
      <alignment horizontal="center" vertical="center"/>
    </xf>
    <xf numFmtId="38" fontId="2" fillId="3" borderId="61" xfId="1" applyFont="1" applyFill="1" applyBorder="1" applyAlignment="1" applyProtection="1">
      <alignment horizontal="center" vertical="center"/>
    </xf>
    <xf numFmtId="38" fontId="2" fillId="3" borderId="63" xfId="1" applyFont="1" applyFill="1" applyBorder="1" applyAlignment="1" applyProtection="1">
      <alignment horizontal="center" vertical="center"/>
    </xf>
    <xf numFmtId="49" fontId="4" fillId="3" borderId="63" xfId="1" applyNumberFormat="1" applyFont="1" applyFill="1" applyBorder="1" applyAlignment="1" applyProtection="1">
      <alignment horizontal="center" vertical="center"/>
    </xf>
    <xf numFmtId="38" fontId="4" fillId="3" borderId="63" xfId="1" applyFont="1" applyFill="1" applyBorder="1" applyAlignment="1" applyProtection="1">
      <alignment horizontal="center" vertical="center"/>
    </xf>
    <xf numFmtId="38" fontId="4" fillId="3" borderId="7" xfId="1" applyFont="1" applyFill="1" applyBorder="1" applyAlignment="1" applyProtection="1">
      <alignment horizontal="center" vertical="center"/>
    </xf>
    <xf numFmtId="49" fontId="2" fillId="3" borderId="7" xfId="1" quotePrefix="1" applyNumberFormat="1" applyFont="1" applyFill="1" applyBorder="1" applyAlignment="1" applyProtection="1">
      <alignment horizontal="center" vertical="center"/>
    </xf>
    <xf numFmtId="38" fontId="4" fillId="2" borderId="47" xfId="1" applyFont="1" applyFill="1" applyBorder="1" applyAlignment="1" applyProtection="1">
      <alignment horizontal="right" vertical="center"/>
      <protection locked="0"/>
    </xf>
    <xf numFmtId="38" fontId="4" fillId="2" borderId="48" xfId="1" applyFont="1" applyFill="1" applyBorder="1" applyAlignment="1" applyProtection="1">
      <alignment horizontal="right" vertical="center"/>
      <protection locked="0"/>
    </xf>
    <xf numFmtId="38" fontId="4" fillId="2" borderId="49" xfId="1" applyFont="1" applyFill="1" applyBorder="1" applyAlignment="1" applyProtection="1">
      <alignment horizontal="right" vertical="center"/>
      <protection locked="0"/>
    </xf>
    <xf numFmtId="0" fontId="0" fillId="0" borderId="0" xfId="0" applyBorder="1" applyAlignment="1" applyProtection="1"/>
    <xf numFmtId="38" fontId="2" fillId="3" borderId="63" xfId="1" applyFont="1" applyFill="1" applyBorder="1" applyAlignment="1" applyProtection="1">
      <alignment horizontal="center" vertical="center" textRotation="255"/>
    </xf>
    <xf numFmtId="38" fontId="4" fillId="2" borderId="46" xfId="1" applyFont="1" applyFill="1" applyBorder="1" applyAlignment="1" applyProtection="1">
      <alignment vertical="center"/>
    </xf>
    <xf numFmtId="49" fontId="2" fillId="3" borderId="7" xfId="1" applyNumberFormat="1" applyFont="1" applyFill="1" applyBorder="1" applyAlignment="1" applyProtection="1">
      <alignment horizontal="center" vertical="center"/>
    </xf>
    <xf numFmtId="49" fontId="2" fillId="3" borderId="15" xfId="1" applyNumberFormat="1" applyFont="1" applyFill="1" applyBorder="1" applyAlignment="1" applyProtection="1">
      <alignment horizontal="center" vertical="center"/>
    </xf>
    <xf numFmtId="49" fontId="4" fillId="0" borderId="5" xfId="1" applyNumberFormat="1" applyFont="1" applyFill="1" applyBorder="1" applyAlignment="1" applyProtection="1">
      <alignment horizontal="center" vertical="center"/>
      <protection locked="0"/>
    </xf>
    <xf numFmtId="38" fontId="4" fillId="4" borderId="64" xfId="1" applyFont="1" applyFill="1" applyBorder="1" applyAlignment="1" applyProtection="1">
      <alignment horizontal="right" vertical="center"/>
      <protection locked="0"/>
    </xf>
    <xf numFmtId="38" fontId="4" fillId="2" borderId="65" xfId="1" applyFont="1" applyFill="1" applyBorder="1" applyAlignment="1" applyProtection="1">
      <alignment vertical="center"/>
    </xf>
    <xf numFmtId="38" fontId="2" fillId="3" borderId="7" xfId="1" applyFont="1" applyFill="1" applyBorder="1" applyAlignment="1" applyProtection="1">
      <alignment horizontal="center" vertical="center"/>
    </xf>
    <xf numFmtId="38" fontId="4" fillId="4" borderId="13" xfId="1" applyFont="1" applyFill="1" applyBorder="1" applyAlignment="1" applyProtection="1">
      <alignment horizontal="right" vertical="center"/>
      <protection locked="0"/>
    </xf>
    <xf numFmtId="38" fontId="4" fillId="4" borderId="8" xfId="1" applyFont="1" applyFill="1" applyBorder="1" applyAlignment="1" applyProtection="1">
      <alignment horizontal="right" vertical="center"/>
      <protection locked="0"/>
    </xf>
    <xf numFmtId="38" fontId="4" fillId="4" borderId="16" xfId="1" applyFont="1" applyFill="1" applyBorder="1" applyAlignment="1" applyProtection="1">
      <alignment horizontal="right" vertical="center"/>
      <protection locked="0"/>
    </xf>
    <xf numFmtId="38" fontId="4" fillId="2" borderId="64" xfId="1" applyFont="1" applyFill="1" applyBorder="1" applyAlignment="1" applyProtection="1">
      <alignment horizontal="right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38" fontId="4" fillId="5" borderId="41" xfId="1" applyFont="1" applyFill="1" applyBorder="1" applyAlignment="1" applyProtection="1">
      <alignment horizontal="right" vertical="center"/>
      <protection locked="0"/>
    </xf>
    <xf numFmtId="38" fontId="4" fillId="5" borderId="34" xfId="1" applyFont="1" applyFill="1" applyBorder="1" applyAlignment="1" applyProtection="1">
      <alignment horizontal="right" vertical="center"/>
      <protection locked="0"/>
    </xf>
    <xf numFmtId="38" fontId="4" fillId="5" borderId="39" xfId="1" applyFont="1" applyFill="1" applyBorder="1" applyAlignment="1" applyProtection="1">
      <alignment horizontal="right" vertical="center"/>
      <protection locked="0"/>
    </xf>
    <xf numFmtId="38" fontId="4" fillId="5" borderId="33" xfId="1" applyFont="1" applyFill="1" applyBorder="1" applyAlignment="1" applyProtection="1">
      <alignment horizontal="right" vertical="center"/>
      <protection locked="0"/>
    </xf>
    <xf numFmtId="38" fontId="4" fillId="5" borderId="21" xfId="1" applyFont="1" applyFill="1" applyBorder="1" applyAlignment="1" applyProtection="1">
      <alignment horizontal="right" vertical="center"/>
      <protection locked="0"/>
    </xf>
    <xf numFmtId="38" fontId="2" fillId="3" borderId="66" xfId="1" applyFont="1" applyFill="1" applyBorder="1" applyAlignment="1" applyProtection="1">
      <alignment horizontal="center" vertical="center"/>
    </xf>
    <xf numFmtId="38" fontId="2" fillId="3" borderId="67" xfId="1" applyFont="1" applyFill="1" applyBorder="1" applyAlignment="1" applyProtection="1">
      <alignment horizontal="center" vertical="center"/>
    </xf>
    <xf numFmtId="49" fontId="4" fillId="3" borderId="66" xfId="1" applyNumberFormat="1" applyFont="1" applyFill="1" applyBorder="1" applyAlignment="1" applyProtection="1">
      <alignment horizontal="center" vertical="center"/>
    </xf>
    <xf numFmtId="49" fontId="2" fillId="3" borderId="67" xfId="1" quotePrefix="1" applyNumberFormat="1" applyFont="1" applyFill="1" applyBorder="1" applyAlignment="1" applyProtection="1">
      <alignment horizontal="center" vertical="center"/>
    </xf>
    <xf numFmtId="38" fontId="4" fillId="2" borderId="42" xfId="1" applyFont="1" applyFill="1" applyBorder="1" applyAlignment="1" applyProtection="1">
      <alignment vertical="center"/>
    </xf>
    <xf numFmtId="38" fontId="4" fillId="2" borderId="31" xfId="1" applyFont="1" applyFill="1" applyBorder="1" applyAlignment="1" applyProtection="1">
      <alignment vertical="center"/>
    </xf>
    <xf numFmtId="38" fontId="4" fillId="2" borderId="20" xfId="1" applyFont="1" applyFill="1" applyBorder="1" applyAlignment="1" applyProtection="1">
      <alignment vertical="center"/>
    </xf>
    <xf numFmtId="38" fontId="4" fillId="2" borderId="15" xfId="1" applyFont="1" applyFill="1" applyBorder="1" applyAlignment="1" applyProtection="1">
      <alignment horizontal="right" vertical="center"/>
      <protection locked="0"/>
    </xf>
    <xf numFmtId="49" fontId="4" fillId="3" borderId="7" xfId="1" applyNumberFormat="1" applyFont="1" applyFill="1" applyBorder="1" applyAlignment="1" applyProtection="1">
      <alignment horizontal="center" vertical="center"/>
    </xf>
    <xf numFmtId="49" fontId="2" fillId="3" borderId="12" xfId="1" quotePrefix="1" applyNumberFormat="1" applyFont="1" applyFill="1" applyBorder="1" applyAlignment="1" applyProtection="1">
      <alignment horizontal="center" vertical="center"/>
    </xf>
    <xf numFmtId="49" fontId="2" fillId="3" borderId="18" xfId="1" quotePrefix="1" applyNumberFormat="1" applyFont="1" applyFill="1" applyBorder="1" applyAlignment="1" applyProtection="1">
      <alignment horizontal="center" vertical="center"/>
    </xf>
    <xf numFmtId="38" fontId="2" fillId="3" borderId="18" xfId="1" applyFont="1" applyFill="1" applyBorder="1" applyAlignment="1" applyProtection="1">
      <alignment horizontal="center" vertical="center"/>
    </xf>
    <xf numFmtId="38" fontId="4" fillId="2" borderId="51" xfId="1" applyFont="1" applyFill="1" applyBorder="1" applyAlignment="1" applyProtection="1">
      <alignment vertical="center"/>
    </xf>
    <xf numFmtId="38" fontId="4" fillId="5" borderId="70" xfId="1" applyFont="1" applyFill="1" applyBorder="1" applyAlignment="1" applyProtection="1">
      <alignment horizontal="right" vertical="center"/>
      <protection locked="0"/>
    </xf>
    <xf numFmtId="38" fontId="4" fillId="5" borderId="71" xfId="1" applyFont="1" applyFill="1" applyBorder="1" applyAlignment="1" applyProtection="1">
      <alignment horizontal="right" vertical="center"/>
      <protection locked="0"/>
    </xf>
    <xf numFmtId="38" fontId="4" fillId="5" borderId="23" xfId="1" applyFont="1" applyFill="1" applyBorder="1" applyAlignment="1" applyProtection="1">
      <alignment horizontal="right" vertical="center"/>
      <protection locked="0"/>
    </xf>
    <xf numFmtId="38" fontId="4" fillId="5" borderId="51" xfId="1" applyFont="1" applyFill="1" applyBorder="1" applyAlignment="1" applyProtection="1">
      <alignment horizontal="right" vertical="center"/>
      <protection locked="0"/>
    </xf>
    <xf numFmtId="38" fontId="4" fillId="4" borderId="18" xfId="1" applyFont="1" applyFill="1" applyBorder="1" applyAlignment="1" applyProtection="1">
      <alignment horizontal="right" vertical="center"/>
      <protection locked="0"/>
    </xf>
    <xf numFmtId="49" fontId="2" fillId="3" borderId="14" xfId="1" quotePrefix="1" applyNumberFormat="1" applyFont="1" applyFill="1" applyBorder="1" applyAlignment="1" applyProtection="1">
      <alignment horizontal="center" vertical="center"/>
    </xf>
    <xf numFmtId="38" fontId="4" fillId="4" borderId="14" xfId="1" applyFont="1" applyFill="1" applyBorder="1" applyAlignment="1" applyProtection="1">
      <alignment horizontal="right" vertical="center"/>
      <protection locked="0"/>
    </xf>
    <xf numFmtId="0" fontId="1" fillId="0" borderId="0" xfId="0" applyFont="1" applyAlignment="1" applyProtection="1"/>
    <xf numFmtId="0" fontId="1" fillId="0" borderId="0" xfId="0" applyFont="1"/>
    <xf numFmtId="2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38" fontId="4" fillId="5" borderId="1" xfId="1" applyFont="1" applyFill="1" applyBorder="1" applyAlignment="1" applyProtection="1">
      <alignment vertical="center"/>
      <protection locked="0"/>
    </xf>
    <xf numFmtId="38" fontId="4" fillId="5" borderId="29" xfId="1" applyFont="1" applyFill="1" applyBorder="1" applyAlignment="1" applyProtection="1">
      <alignment vertical="center"/>
      <protection locked="0"/>
    </xf>
    <xf numFmtId="38" fontId="4" fillId="5" borderId="36" xfId="1" applyFont="1" applyFill="1" applyBorder="1" applyAlignment="1" applyProtection="1">
      <alignment vertical="center"/>
      <protection locked="0"/>
    </xf>
    <xf numFmtId="38" fontId="4" fillId="5" borderId="42" xfId="1" applyFont="1" applyFill="1" applyBorder="1" applyAlignment="1" applyProtection="1">
      <alignment vertical="center"/>
      <protection locked="0"/>
    </xf>
    <xf numFmtId="38" fontId="4" fillId="5" borderId="31" xfId="1" applyFont="1" applyFill="1" applyBorder="1" applyAlignment="1" applyProtection="1">
      <alignment vertical="center"/>
      <protection locked="0"/>
    </xf>
    <xf numFmtId="38" fontId="4" fillId="5" borderId="20" xfId="1" applyFont="1" applyFill="1" applyBorder="1" applyAlignment="1" applyProtection="1">
      <alignment vertical="center"/>
      <protection locked="0"/>
    </xf>
    <xf numFmtId="38" fontId="4" fillId="5" borderId="2" xfId="1" applyFont="1" applyFill="1" applyBorder="1" applyAlignment="1" applyProtection="1">
      <alignment vertical="center"/>
      <protection locked="0"/>
    </xf>
    <xf numFmtId="38" fontId="4" fillId="5" borderId="24" xfId="1" applyFont="1" applyFill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hidden="1"/>
    </xf>
    <xf numFmtId="0" fontId="0" fillId="0" borderId="0" xfId="0" applyAlignment="1" applyProtection="1">
      <protection hidden="1"/>
    </xf>
    <xf numFmtId="0" fontId="1" fillId="0" borderId="0" xfId="0" applyFont="1" applyAlignment="1" applyProtection="1">
      <protection hidden="1"/>
    </xf>
    <xf numFmtId="0" fontId="8" fillId="6" borderId="7" xfId="0" applyFont="1" applyFill="1" applyBorder="1" applyAlignment="1" applyProtection="1">
      <alignment horizontal="center" vertical="center"/>
      <protection hidden="1"/>
    </xf>
    <xf numFmtId="0" fontId="7" fillId="0" borderId="63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/>
      <protection hidden="1"/>
    </xf>
    <xf numFmtId="0" fontId="8" fillId="6" borderId="63" xfId="0" applyFont="1" applyFill="1" applyBorder="1" applyAlignment="1" applyProtection="1">
      <alignment horizontal="center" vertical="center"/>
      <protection hidden="1"/>
    </xf>
    <xf numFmtId="0" fontId="8" fillId="6" borderId="14" xfId="0" applyFont="1" applyFill="1" applyBorder="1" applyAlignment="1" applyProtection="1">
      <alignment horizontal="center" vertical="center"/>
      <protection hidden="1"/>
    </xf>
    <xf numFmtId="0" fontId="7" fillId="0" borderId="46" xfId="0" applyFont="1" applyBorder="1" applyAlignment="1" applyProtection="1">
      <alignment horizontal="center" vertical="center"/>
      <protection hidden="1"/>
    </xf>
    <xf numFmtId="49" fontId="4" fillId="3" borderId="7" xfId="1" applyNumberFormat="1" applyFont="1" applyFill="1" applyBorder="1" applyAlignment="1" applyProtection="1">
      <alignment horizontal="center" vertical="center"/>
    </xf>
    <xf numFmtId="38" fontId="2" fillId="3" borderId="50" xfId="1" applyFont="1" applyFill="1" applyBorder="1" applyAlignment="1" applyProtection="1">
      <alignment horizontal="center" vertical="center" textRotation="255"/>
    </xf>
    <xf numFmtId="38" fontId="2" fillId="3" borderId="51" xfId="1" applyFont="1" applyFill="1" applyBorder="1" applyAlignment="1" applyProtection="1">
      <alignment horizontal="center" vertical="center" textRotation="255"/>
    </xf>
    <xf numFmtId="38" fontId="2" fillId="3" borderId="45" xfId="1" applyFont="1" applyFill="1" applyBorder="1" applyAlignment="1" applyProtection="1">
      <alignment horizontal="center" vertical="center" textRotation="255"/>
    </xf>
    <xf numFmtId="38" fontId="2" fillId="3" borderId="68" xfId="1" applyFont="1" applyFill="1" applyBorder="1" applyAlignment="1" applyProtection="1">
      <alignment horizontal="center" vertical="center" textRotation="255"/>
    </xf>
    <xf numFmtId="38" fontId="2" fillId="3" borderId="10" xfId="1" applyFont="1" applyFill="1" applyBorder="1" applyAlignment="1" applyProtection="1">
      <alignment horizontal="center" vertical="center" textRotation="255"/>
    </xf>
    <xf numFmtId="38" fontId="2" fillId="3" borderId="12" xfId="1" applyFont="1" applyFill="1" applyBorder="1" applyAlignment="1" applyProtection="1">
      <alignment horizontal="center" vertical="center" textRotation="255"/>
    </xf>
    <xf numFmtId="38" fontId="2" fillId="3" borderId="57" xfId="1" applyFont="1" applyFill="1" applyBorder="1" applyAlignment="1" applyProtection="1">
      <alignment horizontal="center" vertical="center" textRotation="255"/>
    </xf>
    <xf numFmtId="38" fontId="2" fillId="3" borderId="69" xfId="1" applyFont="1" applyFill="1" applyBorder="1" applyAlignment="1" applyProtection="1">
      <alignment horizontal="center" vertical="center" textRotation="255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2"/>
  <sheetViews>
    <sheetView showGridLines="0" tabSelected="1" topLeftCell="G1" zoomScale="115" zoomScaleNormal="115" workbookViewId="0">
      <selection activeCell="G1" sqref="G1"/>
    </sheetView>
  </sheetViews>
  <sheetFormatPr defaultColWidth="9" defaultRowHeight="13.5" x14ac:dyDescent="0.15"/>
  <cols>
    <col min="1" max="3" width="8" style="29" hidden="1" customWidth="1"/>
    <col min="4" max="5" width="9.375" style="29" hidden="1" customWidth="1"/>
    <col min="6" max="6" width="8" style="29" hidden="1" customWidth="1"/>
    <col min="7" max="7" width="2.25" style="29" customWidth="1"/>
    <col min="8" max="8" width="5.625" style="29" customWidth="1"/>
    <col min="9" max="9" width="2" style="29" customWidth="1"/>
    <col min="10" max="10" width="10.5" style="29" customWidth="1"/>
    <col min="11" max="25" width="6.75" style="29" customWidth="1"/>
    <col min="26" max="16384" width="9" style="29"/>
  </cols>
  <sheetData>
    <row r="1" spans="1:26" ht="21" customHeight="1" x14ac:dyDescent="0.15">
      <c r="G1" s="191">
        <f>Settings!B4</f>
        <v>0</v>
      </c>
      <c r="H1" s="192"/>
      <c r="I1" s="192"/>
      <c r="J1" s="193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</row>
    <row r="2" spans="1:26" ht="21" customHeight="1" x14ac:dyDescent="0.15">
      <c r="G2" s="197" t="s">
        <v>151</v>
      </c>
      <c r="H2" s="198"/>
      <c r="I2" s="195">
        <f>Settings!B5</f>
        <v>0</v>
      </c>
      <c r="J2" s="196"/>
      <c r="K2" s="192"/>
      <c r="L2" s="194" t="s">
        <v>152</v>
      </c>
      <c r="M2" s="195">
        <f>Settings!B7</f>
        <v>0</v>
      </c>
      <c r="N2" s="199"/>
      <c r="O2" s="199"/>
      <c r="P2" s="199"/>
      <c r="Q2" s="196"/>
      <c r="R2" s="192"/>
      <c r="S2" s="192"/>
      <c r="T2" s="192"/>
      <c r="U2" s="192"/>
      <c r="V2" s="192"/>
      <c r="W2" s="192"/>
      <c r="X2" s="192"/>
      <c r="Y2" s="192"/>
    </row>
    <row r="3" spans="1:26" ht="3" customHeight="1" x14ac:dyDescent="0.15">
      <c r="G3" s="178"/>
      <c r="J3" s="178"/>
    </row>
    <row r="4" spans="1:26" ht="13.5" customHeight="1" x14ac:dyDescent="0.15">
      <c r="A4" s="108" t="s">
        <v>87</v>
      </c>
      <c r="B4" s="108" t="s">
        <v>88</v>
      </c>
      <c r="C4" s="108" t="s">
        <v>89</v>
      </c>
      <c r="D4" s="108" t="s">
        <v>86</v>
      </c>
      <c r="E4" s="108" t="s">
        <v>90</v>
      </c>
      <c r="F4" s="108" t="s">
        <v>85</v>
      </c>
      <c r="G4" s="200" t="s">
        <v>0</v>
      </c>
      <c r="H4" s="200"/>
      <c r="I4" s="129" t="s">
        <v>1</v>
      </c>
      <c r="J4" s="130" t="s">
        <v>2</v>
      </c>
      <c r="K4" s="130" t="s">
        <v>100</v>
      </c>
      <c r="L4" s="130" t="s">
        <v>3</v>
      </c>
      <c r="M4" s="130" t="s">
        <v>131</v>
      </c>
      <c r="N4" s="130" t="s">
        <v>132</v>
      </c>
      <c r="O4" s="130" t="s">
        <v>133</v>
      </c>
      <c r="P4" s="130" t="s">
        <v>134</v>
      </c>
      <c r="Q4" s="130" t="s">
        <v>135</v>
      </c>
      <c r="R4" s="130" t="s">
        <v>136</v>
      </c>
      <c r="S4" s="130" t="s">
        <v>4</v>
      </c>
      <c r="T4" s="130" t="s">
        <v>137</v>
      </c>
      <c r="U4" s="130" t="s">
        <v>138</v>
      </c>
      <c r="V4" s="130" t="s">
        <v>139</v>
      </c>
      <c r="W4" s="130" t="s">
        <v>140</v>
      </c>
      <c r="X4" s="130" t="s">
        <v>141</v>
      </c>
      <c r="Y4" s="131" t="s">
        <v>142</v>
      </c>
      <c r="Z4" s="39"/>
    </row>
    <row r="5" spans="1:26" ht="13.5" customHeight="1" x14ac:dyDescent="0.15">
      <c r="A5" s="107"/>
      <c r="B5" s="107"/>
      <c r="C5" s="107"/>
      <c r="D5" s="149" t="s">
        <v>84</v>
      </c>
      <c r="E5" s="107"/>
      <c r="F5" s="107" t="s">
        <v>84</v>
      </c>
      <c r="G5" s="207" t="s">
        <v>94</v>
      </c>
      <c r="H5" s="113">
        <v>711000</v>
      </c>
      <c r="I5" s="126" t="s">
        <v>72</v>
      </c>
      <c r="J5" s="127" t="s">
        <v>99</v>
      </c>
      <c r="K5" s="124">
        <f>L5+S5</f>
        <v>0</v>
      </c>
      <c r="L5" s="124">
        <f t="shared" ref="L5:L25" si="0">SUM(M5:R5)</f>
        <v>0</v>
      </c>
      <c r="M5" s="1">
        <f t="shared" ref="M5:R5" si="1">M6+M7</f>
        <v>0</v>
      </c>
      <c r="N5" s="123">
        <f t="shared" si="1"/>
        <v>0</v>
      </c>
      <c r="O5" s="91">
        <f t="shared" si="1"/>
        <v>0</v>
      </c>
      <c r="P5" s="91">
        <f t="shared" si="1"/>
        <v>0</v>
      </c>
      <c r="Q5" s="91">
        <f t="shared" si="1"/>
        <v>0</v>
      </c>
      <c r="R5" s="125">
        <f t="shared" si="1"/>
        <v>0</v>
      </c>
      <c r="S5" s="3">
        <f t="shared" ref="S5:S57" si="2">SUM(T5:Y5)</f>
        <v>0</v>
      </c>
      <c r="T5" s="123">
        <f t="shared" ref="T5:Y5" si="3">T6+T7</f>
        <v>0</v>
      </c>
      <c r="U5" s="91">
        <f t="shared" si="3"/>
        <v>0</v>
      </c>
      <c r="V5" s="91">
        <f t="shared" si="3"/>
        <v>0</v>
      </c>
      <c r="W5" s="91">
        <f t="shared" si="3"/>
        <v>0</v>
      </c>
      <c r="X5" s="91">
        <f t="shared" si="3"/>
        <v>0</v>
      </c>
      <c r="Y5" s="94">
        <f t="shared" si="3"/>
        <v>0</v>
      </c>
    </row>
    <row r="6" spans="1:26" ht="13.5" customHeight="1" x14ac:dyDescent="0.15">
      <c r="A6" s="103"/>
      <c r="B6" s="103" t="s">
        <v>84</v>
      </c>
      <c r="C6" s="103" t="s">
        <v>84</v>
      </c>
      <c r="D6" s="150" t="s">
        <v>84</v>
      </c>
      <c r="E6" s="103" t="s">
        <v>84</v>
      </c>
      <c r="F6" s="103" t="s">
        <v>84</v>
      </c>
      <c r="G6" s="208"/>
      <c r="H6" s="114">
        <v>711000</v>
      </c>
      <c r="I6" s="117" t="s">
        <v>6</v>
      </c>
      <c r="J6" s="119" t="s">
        <v>7</v>
      </c>
      <c r="K6" s="120">
        <f t="shared" ref="K6:K62" si="4">L6+S6</f>
        <v>0</v>
      </c>
      <c r="L6" s="120">
        <f t="shared" si="0"/>
        <v>0</v>
      </c>
      <c r="M6" s="122"/>
      <c r="N6" s="60"/>
      <c r="O6" s="60"/>
      <c r="P6" s="60"/>
      <c r="Q6" s="60"/>
      <c r="R6" s="60"/>
      <c r="S6" s="5">
        <f t="shared" si="2"/>
        <v>0</v>
      </c>
      <c r="T6" s="47"/>
      <c r="U6" s="48"/>
      <c r="V6" s="48"/>
      <c r="W6" s="48"/>
      <c r="X6" s="48"/>
      <c r="Y6" s="54"/>
    </row>
    <row r="7" spans="1:26" ht="13.5" customHeight="1" x14ac:dyDescent="0.15">
      <c r="A7" s="103"/>
      <c r="B7" s="103" t="s">
        <v>84</v>
      </c>
      <c r="C7" s="103" t="s">
        <v>84</v>
      </c>
      <c r="D7" s="150" t="s">
        <v>84</v>
      </c>
      <c r="E7" s="103" t="s">
        <v>84</v>
      </c>
      <c r="F7" s="103" t="s">
        <v>84</v>
      </c>
      <c r="G7" s="208"/>
      <c r="H7" s="114">
        <v>711000</v>
      </c>
      <c r="I7" s="117" t="s">
        <v>8</v>
      </c>
      <c r="J7" s="119" t="s">
        <v>9</v>
      </c>
      <c r="K7" s="120">
        <f t="shared" si="4"/>
        <v>0</v>
      </c>
      <c r="L7" s="120">
        <f t="shared" si="0"/>
        <v>0</v>
      </c>
      <c r="M7" s="122"/>
      <c r="N7" s="60"/>
      <c r="O7" s="60"/>
      <c r="P7" s="60"/>
      <c r="Q7" s="60"/>
      <c r="R7" s="60"/>
      <c r="S7" s="5">
        <f t="shared" si="2"/>
        <v>0</v>
      </c>
      <c r="T7" s="47"/>
      <c r="U7" s="48"/>
      <c r="V7" s="48"/>
      <c r="W7" s="48"/>
      <c r="X7" s="48"/>
      <c r="Y7" s="54"/>
    </row>
    <row r="8" spans="1:26" ht="13.5" customHeight="1" x14ac:dyDescent="0.15">
      <c r="A8" s="103"/>
      <c r="B8" s="103" t="s">
        <v>84</v>
      </c>
      <c r="C8" s="103" t="s">
        <v>84</v>
      </c>
      <c r="D8" s="150" t="s">
        <v>84</v>
      </c>
      <c r="E8" s="103" t="s">
        <v>84</v>
      </c>
      <c r="F8" s="103" t="s">
        <v>84</v>
      </c>
      <c r="G8" s="208"/>
      <c r="H8" s="114">
        <v>712000</v>
      </c>
      <c r="I8" s="117" t="s">
        <v>10</v>
      </c>
      <c r="J8" s="119" t="s">
        <v>11</v>
      </c>
      <c r="K8" s="120">
        <f t="shared" si="4"/>
        <v>0</v>
      </c>
      <c r="L8" s="120">
        <f t="shared" si="0"/>
        <v>0</v>
      </c>
      <c r="M8" s="122"/>
      <c r="N8" s="60"/>
      <c r="O8" s="60"/>
      <c r="P8" s="60"/>
      <c r="Q8" s="60"/>
      <c r="R8" s="60"/>
      <c r="S8" s="5">
        <f t="shared" si="2"/>
        <v>0</v>
      </c>
      <c r="T8" s="47"/>
      <c r="U8" s="48"/>
      <c r="V8" s="48"/>
      <c r="W8" s="48"/>
      <c r="X8" s="48"/>
      <c r="Y8" s="54"/>
    </row>
    <row r="9" spans="1:26" ht="13.5" customHeight="1" x14ac:dyDescent="0.15">
      <c r="A9" s="103"/>
      <c r="B9" s="103" t="s">
        <v>84</v>
      </c>
      <c r="C9" s="103" t="s">
        <v>84</v>
      </c>
      <c r="D9" s="150" t="s">
        <v>84</v>
      </c>
      <c r="E9" s="103" t="s">
        <v>84</v>
      </c>
      <c r="F9" s="103" t="s">
        <v>84</v>
      </c>
      <c r="G9" s="208"/>
      <c r="H9" s="114" t="s">
        <v>73</v>
      </c>
      <c r="I9" s="117" t="s">
        <v>5</v>
      </c>
      <c r="J9" s="119" t="s">
        <v>12</v>
      </c>
      <c r="K9" s="120">
        <f t="shared" si="4"/>
        <v>0</v>
      </c>
      <c r="L9" s="120">
        <f t="shared" si="0"/>
        <v>0</v>
      </c>
      <c r="M9" s="122"/>
      <c r="N9" s="60"/>
      <c r="O9" s="60"/>
      <c r="P9" s="60"/>
      <c r="Q9" s="60"/>
      <c r="R9" s="60"/>
      <c r="S9" s="5">
        <f t="shared" si="2"/>
        <v>0</v>
      </c>
      <c r="T9" s="47"/>
      <c r="U9" s="48"/>
      <c r="V9" s="48"/>
      <c r="W9" s="48"/>
      <c r="X9" s="48"/>
      <c r="Y9" s="54"/>
    </row>
    <row r="10" spans="1:26" ht="13.5" customHeight="1" x14ac:dyDescent="0.15">
      <c r="A10" s="103"/>
      <c r="B10" s="103" t="s">
        <v>84</v>
      </c>
      <c r="C10" s="103" t="s">
        <v>84</v>
      </c>
      <c r="D10" s="150" t="s">
        <v>84</v>
      </c>
      <c r="E10" s="103" t="s">
        <v>84</v>
      </c>
      <c r="F10" s="103" t="s">
        <v>84</v>
      </c>
      <c r="G10" s="208"/>
      <c r="H10" s="114">
        <v>714000</v>
      </c>
      <c r="I10" s="117" t="s">
        <v>5</v>
      </c>
      <c r="J10" s="119" t="s">
        <v>13</v>
      </c>
      <c r="K10" s="120">
        <f t="shared" si="4"/>
        <v>0</v>
      </c>
      <c r="L10" s="120">
        <f t="shared" si="0"/>
        <v>0</v>
      </c>
      <c r="M10" s="122"/>
      <c r="N10" s="60"/>
      <c r="O10" s="60"/>
      <c r="P10" s="60"/>
      <c r="Q10" s="60"/>
      <c r="R10" s="60"/>
      <c r="S10" s="5">
        <f t="shared" si="2"/>
        <v>0</v>
      </c>
      <c r="T10" s="47"/>
      <c r="U10" s="48"/>
      <c r="V10" s="48"/>
      <c r="W10" s="48"/>
      <c r="X10" s="48"/>
      <c r="Y10" s="54"/>
    </row>
    <row r="11" spans="1:26" ht="13.5" customHeight="1" x14ac:dyDescent="0.15">
      <c r="A11" s="103"/>
      <c r="B11" s="103" t="s">
        <v>84</v>
      </c>
      <c r="C11" s="103" t="s">
        <v>84</v>
      </c>
      <c r="D11" s="150" t="s">
        <v>84</v>
      </c>
      <c r="E11" s="103" t="s">
        <v>84</v>
      </c>
      <c r="F11" s="103" t="s">
        <v>84</v>
      </c>
      <c r="G11" s="208"/>
      <c r="H11" s="114">
        <v>715000</v>
      </c>
      <c r="I11" s="117" t="s">
        <v>5</v>
      </c>
      <c r="J11" s="119" t="s">
        <v>14</v>
      </c>
      <c r="K11" s="120">
        <f>L11+S11</f>
        <v>0</v>
      </c>
      <c r="L11" s="120">
        <f t="shared" si="0"/>
        <v>0</v>
      </c>
      <c r="M11" s="122"/>
      <c r="N11" s="60"/>
      <c r="O11" s="60"/>
      <c r="P11" s="60"/>
      <c r="Q11" s="60"/>
      <c r="R11" s="60"/>
      <c r="S11" s="5">
        <f t="shared" si="2"/>
        <v>0</v>
      </c>
      <c r="T11" s="47"/>
      <c r="U11" s="48"/>
      <c r="V11" s="48"/>
      <c r="W11" s="48"/>
      <c r="X11" s="48"/>
      <c r="Y11" s="54"/>
    </row>
    <row r="12" spans="1:26" ht="13.5" customHeight="1" x14ac:dyDescent="0.15">
      <c r="A12" s="103"/>
      <c r="B12" s="103" t="s">
        <v>84</v>
      </c>
      <c r="C12" s="103" t="s">
        <v>84</v>
      </c>
      <c r="D12" s="150" t="s">
        <v>84</v>
      </c>
      <c r="E12" s="103" t="s">
        <v>84</v>
      </c>
      <c r="F12" s="103" t="s">
        <v>84</v>
      </c>
      <c r="G12" s="208"/>
      <c r="H12" s="114">
        <v>716000</v>
      </c>
      <c r="I12" s="117" t="s">
        <v>5</v>
      </c>
      <c r="J12" s="119" t="s">
        <v>15</v>
      </c>
      <c r="K12" s="120">
        <f t="shared" si="4"/>
        <v>0</v>
      </c>
      <c r="L12" s="120">
        <f t="shared" si="0"/>
        <v>0</v>
      </c>
      <c r="M12" s="122"/>
      <c r="N12" s="60"/>
      <c r="O12" s="60"/>
      <c r="P12" s="60"/>
      <c r="Q12" s="60"/>
      <c r="R12" s="60"/>
      <c r="S12" s="5">
        <f t="shared" si="2"/>
        <v>0</v>
      </c>
      <c r="T12" s="47"/>
      <c r="U12" s="48"/>
      <c r="V12" s="48"/>
      <c r="W12" s="48"/>
      <c r="X12" s="48"/>
      <c r="Y12" s="54"/>
    </row>
    <row r="13" spans="1:26" ht="13.5" customHeight="1" x14ac:dyDescent="0.15">
      <c r="A13" s="103"/>
      <c r="B13" s="103" t="s">
        <v>84</v>
      </c>
      <c r="C13" s="103" t="s">
        <v>84</v>
      </c>
      <c r="D13" s="150" t="s">
        <v>84</v>
      </c>
      <c r="E13" s="103" t="s">
        <v>84</v>
      </c>
      <c r="F13" s="103" t="s">
        <v>84</v>
      </c>
      <c r="G13" s="208"/>
      <c r="H13" s="114" t="s">
        <v>125</v>
      </c>
      <c r="I13" s="117" t="s">
        <v>5</v>
      </c>
      <c r="J13" s="119" t="s">
        <v>121</v>
      </c>
      <c r="K13" s="120">
        <f>L13+S13</f>
        <v>0</v>
      </c>
      <c r="L13" s="120">
        <f>SUM(M13:R13)</f>
        <v>0</v>
      </c>
      <c r="M13" s="122"/>
      <c r="N13" s="60"/>
      <c r="O13" s="60"/>
      <c r="P13" s="60"/>
      <c r="Q13" s="60"/>
      <c r="R13" s="60"/>
      <c r="S13" s="5">
        <f>SUM(T13:Y13)</f>
        <v>0</v>
      </c>
      <c r="T13" s="47"/>
      <c r="U13" s="48"/>
      <c r="V13" s="48"/>
      <c r="W13" s="48"/>
      <c r="X13" s="48"/>
      <c r="Y13" s="54"/>
    </row>
    <row r="14" spans="1:26" ht="13.5" customHeight="1" x14ac:dyDescent="0.15">
      <c r="A14" s="103"/>
      <c r="B14" s="103"/>
      <c r="C14" s="103"/>
      <c r="D14" s="150"/>
      <c r="E14" s="103"/>
      <c r="F14" s="103"/>
      <c r="G14" s="208"/>
      <c r="H14" s="160"/>
      <c r="I14" s="161"/>
      <c r="J14" s="32" t="s">
        <v>126</v>
      </c>
      <c r="K14" s="120">
        <f>L14+S14</f>
        <v>0</v>
      </c>
      <c r="L14" s="120">
        <f>SUM(M14:R14)</f>
        <v>0</v>
      </c>
      <c r="M14" s="162">
        <f t="shared" ref="M14:Y14" si="5">M12+M13</f>
        <v>0</v>
      </c>
      <c r="N14" s="163">
        <f t="shared" si="5"/>
        <v>0</v>
      </c>
      <c r="O14" s="163">
        <f t="shared" si="5"/>
        <v>0</v>
      </c>
      <c r="P14" s="163">
        <f t="shared" si="5"/>
        <v>0</v>
      </c>
      <c r="Q14" s="163">
        <f t="shared" si="5"/>
        <v>0</v>
      </c>
      <c r="R14" s="163">
        <f t="shared" si="5"/>
        <v>0</v>
      </c>
      <c r="S14" s="120">
        <f>SUM(T14:Y14)</f>
        <v>0</v>
      </c>
      <c r="T14" s="162">
        <f>T12+T13</f>
        <v>0</v>
      </c>
      <c r="U14" s="163">
        <f t="shared" si="5"/>
        <v>0</v>
      </c>
      <c r="V14" s="163">
        <f t="shared" si="5"/>
        <v>0</v>
      </c>
      <c r="W14" s="163">
        <f t="shared" si="5"/>
        <v>0</v>
      </c>
      <c r="X14" s="163">
        <f t="shared" si="5"/>
        <v>0</v>
      </c>
      <c r="Y14" s="164">
        <f t="shared" si="5"/>
        <v>0</v>
      </c>
    </row>
    <row r="15" spans="1:26" ht="13.5" customHeight="1" x14ac:dyDescent="0.15">
      <c r="A15" s="103" t="s">
        <v>84</v>
      </c>
      <c r="B15" s="103" t="s">
        <v>84</v>
      </c>
      <c r="C15" s="103" t="s">
        <v>84</v>
      </c>
      <c r="D15" s="150" t="s">
        <v>84</v>
      </c>
      <c r="E15" s="103" t="s">
        <v>84</v>
      </c>
      <c r="F15" s="103" t="s">
        <v>84</v>
      </c>
      <c r="G15" s="208"/>
      <c r="H15" s="114">
        <v>717000</v>
      </c>
      <c r="I15" s="117" t="s">
        <v>10</v>
      </c>
      <c r="J15" s="119" t="s">
        <v>118</v>
      </c>
      <c r="K15" s="120">
        <f t="shared" si="4"/>
        <v>0</v>
      </c>
      <c r="L15" s="120">
        <f t="shared" si="0"/>
        <v>0</v>
      </c>
      <c r="M15" s="122"/>
      <c r="N15" s="60"/>
      <c r="O15" s="60"/>
      <c r="P15" s="60"/>
      <c r="Q15" s="60"/>
      <c r="R15" s="60"/>
      <c r="S15" s="5">
        <f t="shared" si="2"/>
        <v>0</v>
      </c>
      <c r="T15" s="47"/>
      <c r="U15" s="48"/>
      <c r="V15" s="48"/>
      <c r="W15" s="48"/>
      <c r="X15" s="48"/>
      <c r="Y15" s="54"/>
    </row>
    <row r="16" spans="1:26" ht="13.5" customHeight="1" x14ac:dyDescent="0.15">
      <c r="A16" s="103" t="s">
        <v>84</v>
      </c>
      <c r="B16" s="103" t="s">
        <v>84</v>
      </c>
      <c r="C16" s="103" t="s">
        <v>84</v>
      </c>
      <c r="D16" s="150" t="s">
        <v>84</v>
      </c>
      <c r="E16" s="103" t="s">
        <v>84</v>
      </c>
      <c r="F16" s="103" t="s">
        <v>84</v>
      </c>
      <c r="G16" s="208"/>
      <c r="H16" s="114" t="s">
        <v>117</v>
      </c>
      <c r="I16" s="117" t="s">
        <v>5</v>
      </c>
      <c r="J16" s="119" t="s">
        <v>123</v>
      </c>
      <c r="K16" s="120">
        <f>L16+S16</f>
        <v>0</v>
      </c>
      <c r="L16" s="120">
        <f>SUM(M16:R16)</f>
        <v>0</v>
      </c>
      <c r="M16" s="122"/>
      <c r="N16" s="60"/>
      <c r="O16" s="60"/>
      <c r="P16" s="60"/>
      <c r="Q16" s="60"/>
      <c r="R16" s="60"/>
      <c r="S16" s="5">
        <f>SUM(T16:Y16)</f>
        <v>0</v>
      </c>
      <c r="T16" s="47"/>
      <c r="U16" s="48"/>
      <c r="V16" s="48"/>
      <c r="W16" s="48"/>
      <c r="X16" s="48"/>
      <c r="Y16" s="54"/>
    </row>
    <row r="17" spans="1:25" ht="13.5" customHeight="1" x14ac:dyDescent="0.15">
      <c r="A17" s="103"/>
      <c r="B17" s="103"/>
      <c r="C17" s="103"/>
      <c r="D17" s="150"/>
      <c r="E17" s="103"/>
      <c r="F17" s="103"/>
      <c r="G17" s="208"/>
      <c r="H17" s="158"/>
      <c r="I17" s="159"/>
      <c r="J17" s="32" t="s">
        <v>120</v>
      </c>
      <c r="K17" s="120">
        <f>L17+S17</f>
        <v>0</v>
      </c>
      <c r="L17" s="120">
        <f>SUM(M17:R17)</f>
        <v>0</v>
      </c>
      <c r="M17" s="162">
        <f t="shared" ref="M17:Y17" si="6">M15+M16</f>
        <v>0</v>
      </c>
      <c r="N17" s="163">
        <f t="shared" si="6"/>
        <v>0</v>
      </c>
      <c r="O17" s="163">
        <f t="shared" si="6"/>
        <v>0</v>
      </c>
      <c r="P17" s="163">
        <f t="shared" si="6"/>
        <v>0</v>
      </c>
      <c r="Q17" s="163">
        <f t="shared" si="6"/>
        <v>0</v>
      </c>
      <c r="R17" s="163">
        <f t="shared" si="6"/>
        <v>0</v>
      </c>
      <c r="S17" s="120">
        <f>SUM(T17:Y17)</f>
        <v>0</v>
      </c>
      <c r="T17" s="162">
        <f t="shared" si="6"/>
        <v>0</v>
      </c>
      <c r="U17" s="163">
        <f t="shared" si="6"/>
        <v>0</v>
      </c>
      <c r="V17" s="163">
        <f t="shared" si="6"/>
        <v>0</v>
      </c>
      <c r="W17" s="163">
        <f t="shared" si="6"/>
        <v>0</v>
      </c>
      <c r="X17" s="163">
        <f t="shared" si="6"/>
        <v>0</v>
      </c>
      <c r="Y17" s="164">
        <f t="shared" si="6"/>
        <v>0</v>
      </c>
    </row>
    <row r="18" spans="1:25" ht="13.5" customHeight="1" x14ac:dyDescent="0.15">
      <c r="A18" s="103"/>
      <c r="B18" s="103" t="s">
        <v>84</v>
      </c>
      <c r="C18" s="103" t="s">
        <v>84</v>
      </c>
      <c r="D18" s="150" t="s">
        <v>84</v>
      </c>
      <c r="E18" s="103" t="s">
        <v>84</v>
      </c>
      <c r="F18" s="103" t="s">
        <v>84</v>
      </c>
      <c r="G18" s="208"/>
      <c r="H18" s="114">
        <v>718000</v>
      </c>
      <c r="I18" s="117" t="s">
        <v>5</v>
      </c>
      <c r="J18" s="119" t="s">
        <v>74</v>
      </c>
      <c r="K18" s="120">
        <f t="shared" si="4"/>
        <v>0</v>
      </c>
      <c r="L18" s="120">
        <f t="shared" si="0"/>
        <v>0</v>
      </c>
      <c r="M18" s="122"/>
      <c r="N18" s="60"/>
      <c r="O18" s="60"/>
      <c r="P18" s="60"/>
      <c r="Q18" s="60"/>
      <c r="R18" s="60"/>
      <c r="S18" s="5">
        <f t="shared" si="2"/>
        <v>0</v>
      </c>
      <c r="T18" s="47"/>
      <c r="U18" s="48"/>
      <c r="V18" s="48"/>
      <c r="W18" s="48"/>
      <c r="X18" s="48"/>
      <c r="Y18" s="54"/>
    </row>
    <row r="19" spans="1:25" ht="13.5" customHeight="1" x14ac:dyDescent="0.15">
      <c r="A19" s="103"/>
      <c r="B19" s="103" t="s">
        <v>84</v>
      </c>
      <c r="C19" s="103" t="s">
        <v>84</v>
      </c>
      <c r="D19" s="150" t="s">
        <v>84</v>
      </c>
      <c r="E19" s="103" t="s">
        <v>84</v>
      </c>
      <c r="F19" s="103" t="s">
        <v>84</v>
      </c>
      <c r="G19" s="208"/>
      <c r="H19" s="114">
        <v>719000</v>
      </c>
      <c r="I19" s="117" t="s">
        <v>5</v>
      </c>
      <c r="J19" s="119" t="s">
        <v>119</v>
      </c>
      <c r="K19" s="120">
        <f>L19+S19</f>
        <v>0</v>
      </c>
      <c r="L19" s="120">
        <f>SUM(M19:R19)</f>
        <v>0</v>
      </c>
      <c r="M19" s="122"/>
      <c r="N19" s="60"/>
      <c r="O19" s="60"/>
      <c r="P19" s="60"/>
      <c r="Q19" s="60"/>
      <c r="R19" s="60"/>
      <c r="S19" s="5">
        <f>SUM(T19:Y19)</f>
        <v>0</v>
      </c>
      <c r="T19" s="47"/>
      <c r="U19" s="48"/>
      <c r="V19" s="48"/>
      <c r="W19" s="48"/>
      <c r="X19" s="48"/>
      <c r="Y19" s="54"/>
    </row>
    <row r="20" spans="1:25" ht="13.5" customHeight="1" x14ac:dyDescent="0.15">
      <c r="A20" s="103"/>
      <c r="B20" s="103" t="s">
        <v>84</v>
      </c>
      <c r="C20" s="103" t="s">
        <v>84</v>
      </c>
      <c r="D20" s="150" t="s">
        <v>84</v>
      </c>
      <c r="E20" s="103" t="s">
        <v>84</v>
      </c>
      <c r="F20" s="103" t="s">
        <v>84</v>
      </c>
      <c r="G20" s="208"/>
      <c r="H20" s="114" t="s">
        <v>116</v>
      </c>
      <c r="I20" s="117" t="s">
        <v>5</v>
      </c>
      <c r="J20" s="119" t="s">
        <v>124</v>
      </c>
      <c r="K20" s="120">
        <f>L20+S20</f>
        <v>0</v>
      </c>
      <c r="L20" s="120">
        <f t="shared" si="0"/>
        <v>0</v>
      </c>
      <c r="M20" s="122"/>
      <c r="N20" s="60"/>
      <c r="O20" s="60"/>
      <c r="P20" s="60"/>
      <c r="Q20" s="60"/>
      <c r="R20" s="60"/>
      <c r="S20" s="5">
        <f t="shared" si="2"/>
        <v>0</v>
      </c>
      <c r="T20" s="47"/>
      <c r="U20" s="48"/>
      <c r="V20" s="48"/>
      <c r="W20" s="48"/>
      <c r="X20" s="48"/>
      <c r="Y20" s="54"/>
    </row>
    <row r="21" spans="1:25" ht="13.5" customHeight="1" x14ac:dyDescent="0.15">
      <c r="A21" s="103"/>
      <c r="B21" s="103"/>
      <c r="C21" s="103"/>
      <c r="D21" s="150"/>
      <c r="E21" s="103"/>
      <c r="F21" s="103"/>
      <c r="G21" s="208"/>
      <c r="H21" s="158"/>
      <c r="I21" s="159"/>
      <c r="J21" s="32" t="s">
        <v>122</v>
      </c>
      <c r="K21" s="120">
        <f>L21+S21</f>
        <v>0</v>
      </c>
      <c r="L21" s="120">
        <f>SUM(M21:R21)</f>
        <v>0</v>
      </c>
      <c r="M21" s="162">
        <f t="shared" ref="M21:Y21" si="7">M19+M20</f>
        <v>0</v>
      </c>
      <c r="N21" s="163">
        <f t="shared" si="7"/>
        <v>0</v>
      </c>
      <c r="O21" s="163">
        <f t="shared" si="7"/>
        <v>0</v>
      </c>
      <c r="P21" s="163">
        <f t="shared" si="7"/>
        <v>0</v>
      </c>
      <c r="Q21" s="163">
        <f t="shared" si="7"/>
        <v>0</v>
      </c>
      <c r="R21" s="163">
        <f t="shared" si="7"/>
        <v>0</v>
      </c>
      <c r="S21" s="120">
        <f>SUM(T21:Y21)</f>
        <v>0</v>
      </c>
      <c r="T21" s="162">
        <f t="shared" si="7"/>
        <v>0</v>
      </c>
      <c r="U21" s="163">
        <f t="shared" si="7"/>
        <v>0</v>
      </c>
      <c r="V21" s="163">
        <f t="shared" si="7"/>
        <v>0</v>
      </c>
      <c r="W21" s="163">
        <f t="shared" si="7"/>
        <v>0</v>
      </c>
      <c r="X21" s="163">
        <f t="shared" si="7"/>
        <v>0</v>
      </c>
      <c r="Y21" s="164">
        <f t="shared" si="7"/>
        <v>0</v>
      </c>
    </row>
    <row r="22" spans="1:25" ht="13.5" customHeight="1" x14ac:dyDescent="0.15">
      <c r="A22" s="103"/>
      <c r="B22" s="103" t="s">
        <v>84</v>
      </c>
      <c r="C22" s="103" t="s">
        <v>84</v>
      </c>
      <c r="D22" s="150" t="s">
        <v>84</v>
      </c>
      <c r="E22" s="103" t="s">
        <v>84</v>
      </c>
      <c r="F22" s="103" t="s">
        <v>84</v>
      </c>
      <c r="G22" s="208"/>
      <c r="H22" s="114">
        <v>721000</v>
      </c>
      <c r="I22" s="117" t="s">
        <v>16</v>
      </c>
      <c r="J22" s="119" t="s">
        <v>17</v>
      </c>
      <c r="K22" s="120">
        <f t="shared" si="4"/>
        <v>0</v>
      </c>
      <c r="L22" s="120">
        <f t="shared" si="0"/>
        <v>0</v>
      </c>
      <c r="M22" s="122"/>
      <c r="N22" s="60"/>
      <c r="O22" s="60"/>
      <c r="P22" s="60"/>
      <c r="Q22" s="60"/>
      <c r="R22" s="60"/>
      <c r="S22" s="5">
        <f t="shared" si="2"/>
        <v>0</v>
      </c>
      <c r="T22" s="47"/>
      <c r="U22" s="48"/>
      <c r="V22" s="48"/>
      <c r="W22" s="48"/>
      <c r="X22" s="48"/>
      <c r="Y22" s="54"/>
    </row>
    <row r="23" spans="1:25" ht="13.5" customHeight="1" x14ac:dyDescent="0.15">
      <c r="A23" s="103"/>
      <c r="B23" s="103" t="s">
        <v>84</v>
      </c>
      <c r="C23" s="103" t="s">
        <v>84</v>
      </c>
      <c r="D23" s="150" t="s">
        <v>84</v>
      </c>
      <c r="E23" s="103" t="s">
        <v>84</v>
      </c>
      <c r="F23" s="103" t="s">
        <v>84</v>
      </c>
      <c r="G23" s="208"/>
      <c r="H23" s="114">
        <v>722000</v>
      </c>
      <c r="I23" s="117" t="s">
        <v>5</v>
      </c>
      <c r="J23" s="119" t="s">
        <v>18</v>
      </c>
      <c r="K23" s="120">
        <f t="shared" ref="K23" si="8">L23+S23</f>
        <v>0</v>
      </c>
      <c r="L23" s="120">
        <f t="shared" ref="L23" si="9">SUM(M23:R23)</f>
        <v>0</v>
      </c>
      <c r="M23" s="122"/>
      <c r="N23" s="60"/>
      <c r="O23" s="60"/>
      <c r="P23" s="60"/>
      <c r="Q23" s="60"/>
      <c r="R23" s="60"/>
      <c r="S23" s="5">
        <f t="shared" ref="S23" si="10">SUM(T23:Y23)</f>
        <v>0</v>
      </c>
      <c r="T23" s="47"/>
      <c r="U23" s="48"/>
      <c r="V23" s="48"/>
      <c r="W23" s="48"/>
      <c r="X23" s="48"/>
      <c r="Y23" s="54"/>
    </row>
    <row r="24" spans="1:25" ht="13.5" customHeight="1" x14ac:dyDescent="0.15">
      <c r="A24" s="103"/>
      <c r="B24" s="103" t="s">
        <v>84</v>
      </c>
      <c r="C24" s="103" t="s">
        <v>84</v>
      </c>
      <c r="D24" s="150" t="s">
        <v>84</v>
      </c>
      <c r="E24" s="103" t="s">
        <v>84</v>
      </c>
      <c r="F24" s="103" t="s">
        <v>84</v>
      </c>
      <c r="G24" s="208"/>
      <c r="H24" s="114" t="s">
        <v>127</v>
      </c>
      <c r="I24" s="117" t="s">
        <v>5</v>
      </c>
      <c r="J24" s="119" t="s">
        <v>129</v>
      </c>
      <c r="K24" s="120">
        <f t="shared" si="4"/>
        <v>0</v>
      </c>
      <c r="L24" s="120">
        <f t="shared" si="0"/>
        <v>0</v>
      </c>
      <c r="M24" s="122"/>
      <c r="N24" s="60"/>
      <c r="O24" s="60"/>
      <c r="P24" s="60"/>
      <c r="Q24" s="60"/>
      <c r="R24" s="60"/>
      <c r="S24" s="5">
        <f t="shared" si="2"/>
        <v>0</v>
      </c>
      <c r="T24" s="47"/>
      <c r="U24" s="48"/>
      <c r="V24" s="48"/>
      <c r="W24" s="48"/>
      <c r="X24" s="48"/>
      <c r="Y24" s="54"/>
    </row>
    <row r="25" spans="1:25" ht="13.5" customHeight="1" x14ac:dyDescent="0.15">
      <c r="A25" s="103" t="s">
        <v>84</v>
      </c>
      <c r="B25" s="103" t="s">
        <v>84</v>
      </c>
      <c r="C25" s="103" t="s">
        <v>84</v>
      </c>
      <c r="D25" s="150" t="s">
        <v>84</v>
      </c>
      <c r="E25" s="103" t="s">
        <v>84</v>
      </c>
      <c r="F25" s="103" t="s">
        <v>84</v>
      </c>
      <c r="G25" s="208"/>
      <c r="H25" s="114" t="s">
        <v>128</v>
      </c>
      <c r="I25" s="117" t="s">
        <v>5</v>
      </c>
      <c r="J25" s="119" t="s">
        <v>130</v>
      </c>
      <c r="K25" s="120">
        <f t="shared" si="4"/>
        <v>0</v>
      </c>
      <c r="L25" s="120">
        <f t="shared" si="0"/>
        <v>0</v>
      </c>
      <c r="M25" s="122"/>
      <c r="N25" s="60"/>
      <c r="O25" s="60"/>
      <c r="P25" s="60"/>
      <c r="Q25" s="60"/>
      <c r="R25" s="60"/>
      <c r="S25" s="5">
        <f t="shared" si="2"/>
        <v>0</v>
      </c>
      <c r="T25" s="50"/>
      <c r="U25" s="51"/>
      <c r="V25" s="51"/>
      <c r="W25" s="51"/>
      <c r="X25" s="51"/>
      <c r="Y25" s="59"/>
    </row>
    <row r="26" spans="1:25" ht="13.5" hidden="1" customHeight="1" x14ac:dyDescent="0.15">
      <c r="A26" s="103"/>
      <c r="B26" s="103"/>
      <c r="C26" s="103"/>
      <c r="D26" s="150"/>
      <c r="E26" s="103"/>
      <c r="F26" s="103" t="s">
        <v>84</v>
      </c>
      <c r="G26" s="208"/>
      <c r="H26" s="114" t="s">
        <v>110</v>
      </c>
      <c r="I26" s="117" t="s">
        <v>5</v>
      </c>
      <c r="J26" s="119" t="s">
        <v>111</v>
      </c>
      <c r="K26" s="143"/>
      <c r="L26" s="143"/>
      <c r="M26" s="148">
        <f t="shared" ref="M26:R26" si="11">SUM(M6:M11)+M14+M17+M18+M21+SUM(M22:M25)</f>
        <v>0</v>
      </c>
      <c r="N26" s="148">
        <f t="shared" si="11"/>
        <v>0</v>
      </c>
      <c r="O26" s="148">
        <f t="shared" si="11"/>
        <v>0</v>
      </c>
      <c r="P26" s="148">
        <f t="shared" si="11"/>
        <v>0</v>
      </c>
      <c r="Q26" s="148">
        <f t="shared" si="11"/>
        <v>0</v>
      </c>
      <c r="R26" s="148">
        <f t="shared" si="11"/>
        <v>0</v>
      </c>
      <c r="S26" s="15"/>
      <c r="T26" s="148">
        <f t="shared" ref="T26:Y26" si="12">SUM(T6:T11)+T14+T17+T18+T21+SUM(T22:T25)</f>
        <v>0</v>
      </c>
      <c r="U26" s="148">
        <f t="shared" si="12"/>
        <v>0</v>
      </c>
      <c r="V26" s="148">
        <f t="shared" si="12"/>
        <v>0</v>
      </c>
      <c r="W26" s="148">
        <f t="shared" si="12"/>
        <v>0</v>
      </c>
      <c r="X26" s="148">
        <f t="shared" si="12"/>
        <v>0</v>
      </c>
      <c r="Y26" s="165">
        <f t="shared" si="12"/>
        <v>0</v>
      </c>
    </row>
    <row r="27" spans="1:25" ht="13.5" customHeight="1" x14ac:dyDescent="0.15">
      <c r="A27" s="103"/>
      <c r="B27" s="103"/>
      <c r="C27" s="103"/>
      <c r="D27" s="150"/>
      <c r="E27" s="103"/>
      <c r="F27" s="103"/>
      <c r="G27" s="208"/>
      <c r="H27" s="128"/>
      <c r="I27" s="73"/>
      <c r="J27" s="73" t="s">
        <v>92</v>
      </c>
      <c r="K27" s="7">
        <f>L27+S27</f>
        <v>0</v>
      </c>
      <c r="L27" s="7">
        <f>SUM(M27:R27)</f>
        <v>0</v>
      </c>
      <c r="M27" s="13">
        <f t="shared" ref="M27:R27" si="13">SUM(M6:M11)+M14+M17+M18+M21+SUM(M22:M25)</f>
        <v>0</v>
      </c>
      <c r="N27" s="8">
        <f t="shared" si="13"/>
        <v>0</v>
      </c>
      <c r="O27" s="8">
        <f t="shared" si="13"/>
        <v>0</v>
      </c>
      <c r="P27" s="8">
        <f t="shared" si="13"/>
        <v>0</v>
      </c>
      <c r="Q27" s="8">
        <f t="shared" si="13"/>
        <v>0</v>
      </c>
      <c r="R27" s="16">
        <f t="shared" si="13"/>
        <v>0</v>
      </c>
      <c r="S27" s="7">
        <f>SUM(T27:Y27)</f>
        <v>0</v>
      </c>
      <c r="T27" s="13">
        <f t="shared" ref="T27:Y27" si="14">SUM(T6:T11)+T14+T17+T18+T21+SUM(T22:T25)</f>
        <v>0</v>
      </c>
      <c r="U27" s="8">
        <f t="shared" si="14"/>
        <v>0</v>
      </c>
      <c r="V27" s="8">
        <f t="shared" si="14"/>
        <v>0</v>
      </c>
      <c r="W27" s="8">
        <f t="shared" si="14"/>
        <v>0</v>
      </c>
      <c r="X27" s="8">
        <f t="shared" si="14"/>
        <v>0</v>
      </c>
      <c r="Y27" s="16">
        <f t="shared" si="14"/>
        <v>0</v>
      </c>
    </row>
    <row r="28" spans="1:25" ht="13.5" customHeight="1" x14ac:dyDescent="0.15">
      <c r="A28" s="103"/>
      <c r="B28" s="103"/>
      <c r="C28" s="103" t="s">
        <v>84</v>
      </c>
      <c r="D28" s="150" t="s">
        <v>84</v>
      </c>
      <c r="E28" s="103" t="s">
        <v>84</v>
      </c>
      <c r="F28" s="103" t="s">
        <v>84</v>
      </c>
      <c r="G28" s="204" t="s">
        <v>93</v>
      </c>
      <c r="H28" s="112">
        <v>731000</v>
      </c>
      <c r="I28" s="116" t="s">
        <v>5</v>
      </c>
      <c r="J28" s="118" t="s">
        <v>19</v>
      </c>
      <c r="K28" s="17">
        <f t="shared" si="4"/>
        <v>0</v>
      </c>
      <c r="L28" s="11">
        <f>SUM(M28:R28)</f>
        <v>0</v>
      </c>
      <c r="M28" s="62"/>
      <c r="N28" s="57"/>
      <c r="O28" s="57"/>
      <c r="P28" s="57"/>
      <c r="Q28" s="57"/>
      <c r="R28" s="64"/>
      <c r="S28" s="11">
        <f t="shared" si="2"/>
        <v>0</v>
      </c>
      <c r="T28" s="62"/>
      <c r="U28" s="57"/>
      <c r="V28" s="57"/>
      <c r="W28" s="57"/>
      <c r="X28" s="57"/>
      <c r="Y28" s="77"/>
    </row>
    <row r="29" spans="1:25" ht="13.5" customHeight="1" x14ac:dyDescent="0.15">
      <c r="A29" s="103"/>
      <c r="B29" s="103"/>
      <c r="C29" s="103" t="s">
        <v>84</v>
      </c>
      <c r="D29" s="150" t="s">
        <v>84</v>
      </c>
      <c r="E29" s="103" t="s">
        <v>84</v>
      </c>
      <c r="F29" s="103" t="s">
        <v>84</v>
      </c>
      <c r="G29" s="205"/>
      <c r="H29" s="111">
        <v>732000</v>
      </c>
      <c r="I29" s="83" t="s">
        <v>5</v>
      </c>
      <c r="J29" s="32" t="s">
        <v>20</v>
      </c>
      <c r="K29" s="76">
        <f t="shared" si="4"/>
        <v>0</v>
      </c>
      <c r="L29" s="4">
        <f t="shared" ref="L29:L45" si="15">SUM(M29:R29)</f>
        <v>0</v>
      </c>
      <c r="M29" s="88"/>
      <c r="N29" s="48"/>
      <c r="O29" s="48"/>
      <c r="P29" s="48"/>
      <c r="Q29" s="48"/>
      <c r="R29" s="54"/>
      <c r="S29" s="4">
        <f t="shared" si="2"/>
        <v>0</v>
      </c>
      <c r="T29" s="88"/>
      <c r="U29" s="48"/>
      <c r="V29" s="48"/>
      <c r="W29" s="48"/>
      <c r="X29" s="48"/>
      <c r="Y29" s="75"/>
    </row>
    <row r="30" spans="1:25" ht="13.5" customHeight="1" x14ac:dyDescent="0.15">
      <c r="A30" s="103"/>
      <c r="B30" s="103"/>
      <c r="C30" s="103" t="s">
        <v>84</v>
      </c>
      <c r="D30" s="150" t="s">
        <v>84</v>
      </c>
      <c r="E30" s="103" t="s">
        <v>84</v>
      </c>
      <c r="F30" s="103" t="s">
        <v>84</v>
      </c>
      <c r="G30" s="205"/>
      <c r="H30" s="111">
        <v>733000</v>
      </c>
      <c r="I30" s="83" t="s">
        <v>23</v>
      </c>
      <c r="J30" s="32" t="s">
        <v>75</v>
      </c>
      <c r="K30" s="76">
        <f t="shared" si="4"/>
        <v>0</v>
      </c>
      <c r="L30" s="4">
        <f t="shared" si="15"/>
        <v>0</v>
      </c>
      <c r="M30" s="88"/>
      <c r="N30" s="48"/>
      <c r="O30" s="48"/>
      <c r="P30" s="48"/>
      <c r="Q30" s="48"/>
      <c r="R30" s="54"/>
      <c r="S30" s="4">
        <f t="shared" si="2"/>
        <v>0</v>
      </c>
      <c r="T30" s="88"/>
      <c r="U30" s="48"/>
      <c r="V30" s="48"/>
      <c r="W30" s="48"/>
      <c r="X30" s="48"/>
      <c r="Y30" s="75"/>
    </row>
    <row r="31" spans="1:25" ht="13.5" customHeight="1" x14ac:dyDescent="0.15">
      <c r="A31" s="103"/>
      <c r="B31" s="103"/>
      <c r="C31" s="103" t="s">
        <v>84</v>
      </c>
      <c r="D31" s="150" t="s">
        <v>84</v>
      </c>
      <c r="E31" s="103" t="s">
        <v>84</v>
      </c>
      <c r="F31" s="103" t="s">
        <v>84</v>
      </c>
      <c r="G31" s="205"/>
      <c r="H31" s="111">
        <v>734000</v>
      </c>
      <c r="I31" s="83" t="s">
        <v>5</v>
      </c>
      <c r="J31" s="32" t="s">
        <v>21</v>
      </c>
      <c r="K31" s="76">
        <f t="shared" si="4"/>
        <v>0</v>
      </c>
      <c r="L31" s="4">
        <f t="shared" si="15"/>
        <v>0</v>
      </c>
      <c r="M31" s="88"/>
      <c r="N31" s="48"/>
      <c r="O31" s="48"/>
      <c r="P31" s="48"/>
      <c r="Q31" s="48"/>
      <c r="R31" s="54"/>
      <c r="S31" s="4">
        <f t="shared" si="2"/>
        <v>0</v>
      </c>
      <c r="T31" s="88"/>
      <c r="U31" s="48"/>
      <c r="V31" s="48"/>
      <c r="W31" s="48"/>
      <c r="X31" s="48"/>
      <c r="Y31" s="75"/>
    </row>
    <row r="32" spans="1:25" ht="13.5" customHeight="1" x14ac:dyDescent="0.15">
      <c r="A32" s="103"/>
      <c r="B32" s="103"/>
      <c r="C32" s="103" t="s">
        <v>84</v>
      </c>
      <c r="D32" s="150" t="s">
        <v>84</v>
      </c>
      <c r="E32" s="103" t="s">
        <v>84</v>
      </c>
      <c r="F32" s="103" t="s">
        <v>84</v>
      </c>
      <c r="G32" s="205"/>
      <c r="H32" s="111">
        <v>735000</v>
      </c>
      <c r="I32" s="83" t="s">
        <v>5</v>
      </c>
      <c r="J32" s="32" t="s">
        <v>22</v>
      </c>
      <c r="K32" s="76">
        <f t="shared" si="4"/>
        <v>0</v>
      </c>
      <c r="L32" s="4">
        <f t="shared" si="15"/>
        <v>0</v>
      </c>
      <c r="M32" s="88"/>
      <c r="N32" s="48"/>
      <c r="O32" s="48"/>
      <c r="P32" s="48"/>
      <c r="Q32" s="48"/>
      <c r="R32" s="54"/>
      <c r="S32" s="4">
        <f t="shared" si="2"/>
        <v>0</v>
      </c>
      <c r="T32" s="88"/>
      <c r="U32" s="48"/>
      <c r="V32" s="48"/>
      <c r="W32" s="48"/>
      <c r="X32" s="48"/>
      <c r="Y32" s="75"/>
    </row>
    <row r="33" spans="1:25" ht="13.5" customHeight="1" x14ac:dyDescent="0.15">
      <c r="A33" s="103"/>
      <c r="B33" s="103"/>
      <c r="C33" s="103" t="s">
        <v>84</v>
      </c>
      <c r="D33" s="150" t="s">
        <v>84</v>
      </c>
      <c r="E33" s="103" t="s">
        <v>84</v>
      </c>
      <c r="F33" s="103" t="s">
        <v>84</v>
      </c>
      <c r="G33" s="205"/>
      <c r="H33" s="111">
        <v>736000</v>
      </c>
      <c r="I33" s="83" t="s">
        <v>76</v>
      </c>
      <c r="J33" s="32" t="s">
        <v>77</v>
      </c>
      <c r="K33" s="76">
        <f t="shared" si="4"/>
        <v>0</v>
      </c>
      <c r="L33" s="4">
        <f t="shared" si="15"/>
        <v>0</v>
      </c>
      <c r="M33" s="88"/>
      <c r="N33" s="48"/>
      <c r="O33" s="48"/>
      <c r="P33" s="48"/>
      <c r="Q33" s="48"/>
      <c r="R33" s="54"/>
      <c r="S33" s="4">
        <f t="shared" si="2"/>
        <v>0</v>
      </c>
      <c r="T33" s="88"/>
      <c r="U33" s="48"/>
      <c r="V33" s="48"/>
      <c r="W33" s="48"/>
      <c r="X33" s="48"/>
      <c r="Y33" s="75"/>
    </row>
    <row r="34" spans="1:25" ht="13.5" customHeight="1" x14ac:dyDescent="0.15">
      <c r="A34" s="103"/>
      <c r="B34" s="103"/>
      <c r="C34" s="103" t="s">
        <v>84</v>
      </c>
      <c r="D34" s="150" t="s">
        <v>84</v>
      </c>
      <c r="E34" s="103" t="s">
        <v>84</v>
      </c>
      <c r="F34" s="103" t="s">
        <v>84</v>
      </c>
      <c r="G34" s="205"/>
      <c r="H34" s="111">
        <v>737000</v>
      </c>
      <c r="I34" s="83" t="s">
        <v>5</v>
      </c>
      <c r="J34" s="32" t="s">
        <v>24</v>
      </c>
      <c r="K34" s="76">
        <f t="shared" si="4"/>
        <v>0</v>
      </c>
      <c r="L34" s="4">
        <f t="shared" si="15"/>
        <v>0</v>
      </c>
      <c r="M34" s="88"/>
      <c r="N34" s="48"/>
      <c r="O34" s="48"/>
      <c r="P34" s="48"/>
      <c r="Q34" s="48"/>
      <c r="R34" s="54"/>
      <c r="S34" s="4">
        <f t="shared" si="2"/>
        <v>0</v>
      </c>
      <c r="T34" s="88"/>
      <c r="U34" s="48"/>
      <c r="V34" s="48"/>
      <c r="W34" s="48"/>
      <c r="X34" s="48"/>
      <c r="Y34" s="75"/>
    </row>
    <row r="35" spans="1:25" ht="13.5" customHeight="1" x14ac:dyDescent="0.15">
      <c r="A35" s="103" t="s">
        <v>84</v>
      </c>
      <c r="B35" s="103"/>
      <c r="C35" s="103" t="s">
        <v>84</v>
      </c>
      <c r="D35" s="150" t="s">
        <v>84</v>
      </c>
      <c r="E35" s="103" t="s">
        <v>84</v>
      </c>
      <c r="F35" s="103" t="s">
        <v>84</v>
      </c>
      <c r="G35" s="205"/>
      <c r="H35" s="111">
        <v>738000</v>
      </c>
      <c r="I35" s="83" t="s">
        <v>5</v>
      </c>
      <c r="J35" s="32" t="s">
        <v>25</v>
      </c>
      <c r="K35" s="76">
        <f t="shared" si="4"/>
        <v>0</v>
      </c>
      <c r="L35" s="4">
        <f t="shared" si="15"/>
        <v>0</v>
      </c>
      <c r="M35" s="88"/>
      <c r="N35" s="48"/>
      <c r="O35" s="48"/>
      <c r="P35" s="48"/>
      <c r="Q35" s="48"/>
      <c r="R35" s="54"/>
      <c r="S35" s="4">
        <f t="shared" si="2"/>
        <v>0</v>
      </c>
      <c r="T35" s="88"/>
      <c r="U35" s="48"/>
      <c r="V35" s="48"/>
      <c r="W35" s="48"/>
      <c r="X35" s="48"/>
      <c r="Y35" s="75"/>
    </row>
    <row r="36" spans="1:25" ht="13.5" customHeight="1" x14ac:dyDescent="0.15">
      <c r="A36" s="103"/>
      <c r="B36" s="103"/>
      <c r="C36" s="103" t="s">
        <v>84</v>
      </c>
      <c r="D36" s="150" t="s">
        <v>84</v>
      </c>
      <c r="E36" s="103" t="s">
        <v>84</v>
      </c>
      <c r="F36" s="103" t="s">
        <v>84</v>
      </c>
      <c r="G36" s="205"/>
      <c r="H36" s="111">
        <v>748000</v>
      </c>
      <c r="I36" s="83" t="s">
        <v>26</v>
      </c>
      <c r="J36" s="32" t="s">
        <v>27</v>
      </c>
      <c r="K36" s="76">
        <f t="shared" si="4"/>
        <v>0</v>
      </c>
      <c r="L36" s="4">
        <f t="shared" si="15"/>
        <v>0</v>
      </c>
      <c r="M36" s="88"/>
      <c r="N36" s="48"/>
      <c r="O36" s="48"/>
      <c r="P36" s="48"/>
      <c r="Q36" s="48"/>
      <c r="R36" s="54"/>
      <c r="S36" s="4">
        <f t="shared" si="2"/>
        <v>0</v>
      </c>
      <c r="T36" s="88"/>
      <c r="U36" s="48"/>
      <c r="V36" s="48"/>
      <c r="W36" s="48"/>
      <c r="X36" s="48"/>
      <c r="Y36" s="75"/>
    </row>
    <row r="37" spans="1:25" ht="13.5" customHeight="1" x14ac:dyDescent="0.15">
      <c r="A37" s="103"/>
      <c r="B37" s="103"/>
      <c r="C37" s="103" t="s">
        <v>84</v>
      </c>
      <c r="D37" s="150" t="s">
        <v>84</v>
      </c>
      <c r="E37" s="103" t="s">
        <v>84</v>
      </c>
      <c r="F37" s="103" t="s">
        <v>84</v>
      </c>
      <c r="G37" s="205"/>
      <c r="H37" s="111">
        <v>739000</v>
      </c>
      <c r="I37" s="83" t="s">
        <v>5</v>
      </c>
      <c r="J37" s="32" t="s">
        <v>28</v>
      </c>
      <c r="K37" s="76">
        <f t="shared" si="4"/>
        <v>0</v>
      </c>
      <c r="L37" s="4">
        <f t="shared" si="15"/>
        <v>0</v>
      </c>
      <c r="M37" s="88"/>
      <c r="N37" s="48"/>
      <c r="O37" s="48"/>
      <c r="P37" s="48"/>
      <c r="Q37" s="48"/>
      <c r="R37" s="54"/>
      <c r="S37" s="4">
        <f t="shared" si="2"/>
        <v>0</v>
      </c>
      <c r="T37" s="88"/>
      <c r="U37" s="48"/>
      <c r="V37" s="48"/>
      <c r="W37" s="48"/>
      <c r="X37" s="48"/>
      <c r="Y37" s="75"/>
    </row>
    <row r="38" spans="1:25" ht="13.5" customHeight="1" x14ac:dyDescent="0.15">
      <c r="A38" s="103"/>
      <c r="B38" s="103"/>
      <c r="C38" s="103" t="s">
        <v>84</v>
      </c>
      <c r="D38" s="150" t="s">
        <v>84</v>
      </c>
      <c r="E38" s="103" t="s">
        <v>84</v>
      </c>
      <c r="F38" s="103" t="s">
        <v>84</v>
      </c>
      <c r="G38" s="205"/>
      <c r="H38" s="111">
        <v>741000</v>
      </c>
      <c r="I38" s="83" t="s">
        <v>5</v>
      </c>
      <c r="J38" s="32" t="s">
        <v>29</v>
      </c>
      <c r="K38" s="76">
        <f t="shared" si="4"/>
        <v>0</v>
      </c>
      <c r="L38" s="4">
        <f t="shared" si="15"/>
        <v>0</v>
      </c>
      <c r="M38" s="88"/>
      <c r="N38" s="48"/>
      <c r="O38" s="48"/>
      <c r="P38" s="48"/>
      <c r="Q38" s="48"/>
      <c r="R38" s="54"/>
      <c r="S38" s="4">
        <f t="shared" si="2"/>
        <v>0</v>
      </c>
      <c r="T38" s="88"/>
      <c r="U38" s="48"/>
      <c r="V38" s="48"/>
      <c r="W38" s="48"/>
      <c r="X38" s="48"/>
      <c r="Y38" s="75"/>
    </row>
    <row r="39" spans="1:25" ht="13.5" customHeight="1" x14ac:dyDescent="0.15">
      <c r="A39" s="103" t="s">
        <v>84</v>
      </c>
      <c r="B39" s="103"/>
      <c r="C39" s="103" t="s">
        <v>84</v>
      </c>
      <c r="D39" s="150" t="s">
        <v>84</v>
      </c>
      <c r="E39" s="103" t="s">
        <v>84</v>
      </c>
      <c r="F39" s="103" t="s">
        <v>84</v>
      </c>
      <c r="G39" s="205"/>
      <c r="H39" s="111">
        <v>749100</v>
      </c>
      <c r="I39" s="83" t="s">
        <v>10</v>
      </c>
      <c r="J39" s="32" t="s">
        <v>30</v>
      </c>
      <c r="K39" s="76">
        <f t="shared" si="4"/>
        <v>0</v>
      </c>
      <c r="L39" s="4">
        <f t="shared" si="15"/>
        <v>0</v>
      </c>
      <c r="M39" s="88"/>
      <c r="N39" s="48"/>
      <c r="O39" s="48"/>
      <c r="P39" s="48"/>
      <c r="Q39" s="48"/>
      <c r="R39" s="54"/>
      <c r="S39" s="4">
        <f t="shared" si="2"/>
        <v>0</v>
      </c>
      <c r="T39" s="88"/>
      <c r="U39" s="48"/>
      <c r="V39" s="48"/>
      <c r="W39" s="48"/>
      <c r="X39" s="48"/>
      <c r="Y39" s="75"/>
    </row>
    <row r="40" spans="1:25" ht="13.5" customHeight="1" x14ac:dyDescent="0.15">
      <c r="A40" s="103" t="s">
        <v>84</v>
      </c>
      <c r="B40" s="103"/>
      <c r="C40" s="103" t="s">
        <v>84</v>
      </c>
      <c r="D40" s="150" t="s">
        <v>84</v>
      </c>
      <c r="E40" s="103" t="s">
        <v>84</v>
      </c>
      <c r="F40" s="103" t="s">
        <v>84</v>
      </c>
      <c r="G40" s="205"/>
      <c r="H40" s="111">
        <v>742000</v>
      </c>
      <c r="I40" s="83" t="s">
        <v>5</v>
      </c>
      <c r="J40" s="32" t="s">
        <v>31</v>
      </c>
      <c r="K40" s="76">
        <f t="shared" si="4"/>
        <v>0</v>
      </c>
      <c r="L40" s="4">
        <f t="shared" si="15"/>
        <v>0</v>
      </c>
      <c r="M40" s="88"/>
      <c r="N40" s="48"/>
      <c r="O40" s="48"/>
      <c r="P40" s="48"/>
      <c r="Q40" s="48"/>
      <c r="R40" s="54"/>
      <c r="S40" s="4">
        <f t="shared" si="2"/>
        <v>0</v>
      </c>
      <c r="T40" s="88"/>
      <c r="U40" s="48"/>
      <c r="V40" s="48"/>
      <c r="W40" s="48"/>
      <c r="X40" s="48"/>
      <c r="Y40" s="75"/>
    </row>
    <row r="41" spans="1:25" ht="13.5" customHeight="1" x14ac:dyDescent="0.15">
      <c r="A41" s="103" t="s">
        <v>84</v>
      </c>
      <c r="B41" s="103"/>
      <c r="C41" s="103" t="s">
        <v>84</v>
      </c>
      <c r="D41" s="150" t="s">
        <v>84</v>
      </c>
      <c r="E41" s="103" t="s">
        <v>84</v>
      </c>
      <c r="F41" s="103" t="s">
        <v>84</v>
      </c>
      <c r="G41" s="205"/>
      <c r="H41" s="111">
        <v>743000</v>
      </c>
      <c r="I41" s="83" t="s">
        <v>5</v>
      </c>
      <c r="J41" s="32" t="s">
        <v>32</v>
      </c>
      <c r="K41" s="76">
        <f t="shared" si="4"/>
        <v>0</v>
      </c>
      <c r="L41" s="4">
        <f t="shared" si="15"/>
        <v>0</v>
      </c>
      <c r="M41" s="88"/>
      <c r="N41" s="48"/>
      <c r="O41" s="48"/>
      <c r="P41" s="48"/>
      <c r="Q41" s="48"/>
      <c r="R41" s="54"/>
      <c r="S41" s="4">
        <f t="shared" si="2"/>
        <v>0</v>
      </c>
      <c r="T41" s="88"/>
      <c r="U41" s="48"/>
      <c r="V41" s="48"/>
      <c r="W41" s="48"/>
      <c r="X41" s="48"/>
      <c r="Y41" s="75"/>
    </row>
    <row r="42" spans="1:25" ht="13.5" customHeight="1" x14ac:dyDescent="0.15">
      <c r="A42" s="103" t="s">
        <v>84</v>
      </c>
      <c r="B42" s="103"/>
      <c r="C42" s="103" t="s">
        <v>84</v>
      </c>
      <c r="D42" s="150" t="s">
        <v>84</v>
      </c>
      <c r="E42" s="103" t="s">
        <v>84</v>
      </c>
      <c r="F42" s="103" t="s">
        <v>84</v>
      </c>
      <c r="G42" s="205"/>
      <c r="H42" s="111">
        <v>744000</v>
      </c>
      <c r="I42" s="83" t="s">
        <v>16</v>
      </c>
      <c r="J42" s="32" t="s">
        <v>33</v>
      </c>
      <c r="K42" s="76">
        <f t="shared" si="4"/>
        <v>0</v>
      </c>
      <c r="L42" s="4">
        <f t="shared" si="15"/>
        <v>0</v>
      </c>
      <c r="M42" s="88"/>
      <c r="N42" s="48"/>
      <c r="O42" s="48"/>
      <c r="P42" s="48"/>
      <c r="Q42" s="48"/>
      <c r="R42" s="54"/>
      <c r="S42" s="4">
        <f t="shared" si="2"/>
        <v>0</v>
      </c>
      <c r="T42" s="88"/>
      <c r="U42" s="48"/>
      <c r="V42" s="48"/>
      <c r="W42" s="48"/>
      <c r="X42" s="48"/>
      <c r="Y42" s="75"/>
    </row>
    <row r="43" spans="1:25" ht="13.5" customHeight="1" x14ac:dyDescent="0.15">
      <c r="A43" s="103"/>
      <c r="B43" s="103"/>
      <c r="C43" s="103" t="s">
        <v>84</v>
      </c>
      <c r="D43" s="150" t="s">
        <v>84</v>
      </c>
      <c r="E43" s="103" t="s">
        <v>84</v>
      </c>
      <c r="F43" s="103" t="s">
        <v>84</v>
      </c>
      <c r="G43" s="205"/>
      <c r="H43" s="111">
        <v>745000</v>
      </c>
      <c r="I43" s="83" t="s">
        <v>5</v>
      </c>
      <c r="J43" s="32" t="s">
        <v>34</v>
      </c>
      <c r="K43" s="76">
        <f t="shared" si="4"/>
        <v>0</v>
      </c>
      <c r="L43" s="4">
        <f t="shared" si="15"/>
        <v>0</v>
      </c>
      <c r="M43" s="88"/>
      <c r="N43" s="48"/>
      <c r="O43" s="48"/>
      <c r="P43" s="48"/>
      <c r="Q43" s="48"/>
      <c r="R43" s="54"/>
      <c r="S43" s="4">
        <f t="shared" si="2"/>
        <v>0</v>
      </c>
      <c r="T43" s="88"/>
      <c r="U43" s="48"/>
      <c r="V43" s="48"/>
      <c r="W43" s="48"/>
      <c r="X43" s="48"/>
      <c r="Y43" s="75"/>
    </row>
    <row r="44" spans="1:25" ht="13.5" customHeight="1" x14ac:dyDescent="0.15">
      <c r="A44" s="103"/>
      <c r="B44" s="103"/>
      <c r="C44" s="103" t="s">
        <v>84</v>
      </c>
      <c r="D44" s="150" t="s">
        <v>84</v>
      </c>
      <c r="E44" s="103" t="s">
        <v>84</v>
      </c>
      <c r="F44" s="103" t="s">
        <v>84</v>
      </c>
      <c r="G44" s="205"/>
      <c r="H44" s="111">
        <v>746000</v>
      </c>
      <c r="I44" s="83" t="s">
        <v>5</v>
      </c>
      <c r="J44" s="32" t="s">
        <v>35</v>
      </c>
      <c r="K44" s="76">
        <f t="shared" si="4"/>
        <v>0</v>
      </c>
      <c r="L44" s="4">
        <f t="shared" si="15"/>
        <v>0</v>
      </c>
      <c r="M44" s="88"/>
      <c r="N44" s="48"/>
      <c r="O44" s="48"/>
      <c r="P44" s="48"/>
      <c r="Q44" s="48"/>
      <c r="R44" s="54"/>
      <c r="S44" s="4">
        <f t="shared" si="2"/>
        <v>0</v>
      </c>
      <c r="T44" s="88"/>
      <c r="U44" s="48"/>
      <c r="V44" s="48"/>
      <c r="W44" s="48"/>
      <c r="X44" s="48"/>
      <c r="Y44" s="75"/>
    </row>
    <row r="45" spans="1:25" ht="13.5" customHeight="1" x14ac:dyDescent="0.15">
      <c r="A45" s="103"/>
      <c r="B45" s="103"/>
      <c r="C45" s="103" t="s">
        <v>84</v>
      </c>
      <c r="D45" s="150" t="s">
        <v>84</v>
      </c>
      <c r="E45" s="103" t="s">
        <v>84</v>
      </c>
      <c r="F45" s="103" t="s">
        <v>84</v>
      </c>
      <c r="G45" s="205"/>
      <c r="H45" s="115">
        <v>747000</v>
      </c>
      <c r="I45" s="84" t="s">
        <v>5</v>
      </c>
      <c r="J45" s="81" t="s">
        <v>36</v>
      </c>
      <c r="K45" s="70">
        <f t="shared" si="4"/>
        <v>0</v>
      </c>
      <c r="L45" s="12">
        <f t="shared" si="15"/>
        <v>0</v>
      </c>
      <c r="M45" s="89"/>
      <c r="N45" s="92"/>
      <c r="O45" s="92"/>
      <c r="P45" s="92"/>
      <c r="Q45" s="92"/>
      <c r="R45" s="95"/>
      <c r="S45" s="12">
        <f t="shared" si="2"/>
        <v>0</v>
      </c>
      <c r="T45" s="89"/>
      <c r="U45" s="92"/>
      <c r="V45" s="92"/>
      <c r="W45" s="92"/>
      <c r="X45" s="92"/>
      <c r="Y45" s="72"/>
    </row>
    <row r="46" spans="1:25" ht="13.5" hidden="1" customHeight="1" x14ac:dyDescent="0.15">
      <c r="A46" s="103"/>
      <c r="B46" s="103"/>
      <c r="C46" s="103"/>
      <c r="D46" s="150"/>
      <c r="E46" s="103"/>
      <c r="F46" s="103" t="s">
        <v>84</v>
      </c>
      <c r="G46" s="205"/>
      <c r="H46" s="129" t="s">
        <v>112</v>
      </c>
      <c r="I46" s="132" t="s">
        <v>5</v>
      </c>
      <c r="J46" s="144" t="s">
        <v>113</v>
      </c>
      <c r="K46" s="70"/>
      <c r="L46" s="12"/>
      <c r="M46" s="145">
        <f t="shared" ref="M46:R46" si="16">SUM(M28:M45)</f>
        <v>0</v>
      </c>
      <c r="N46" s="146">
        <f t="shared" si="16"/>
        <v>0</v>
      </c>
      <c r="O46" s="146">
        <f t="shared" si="16"/>
        <v>0</v>
      </c>
      <c r="P46" s="146">
        <f t="shared" si="16"/>
        <v>0</v>
      </c>
      <c r="Q46" s="146">
        <f t="shared" si="16"/>
        <v>0</v>
      </c>
      <c r="R46" s="147">
        <f t="shared" si="16"/>
        <v>0</v>
      </c>
      <c r="S46" s="12"/>
      <c r="T46" s="145">
        <f t="shared" ref="T46:Y46" si="17">SUM(T28:T45)</f>
        <v>0</v>
      </c>
      <c r="U46" s="146">
        <f t="shared" si="17"/>
        <v>0</v>
      </c>
      <c r="V46" s="146">
        <f t="shared" si="17"/>
        <v>0</v>
      </c>
      <c r="W46" s="146">
        <f t="shared" si="17"/>
        <v>0</v>
      </c>
      <c r="X46" s="146">
        <f t="shared" si="17"/>
        <v>0</v>
      </c>
      <c r="Y46" s="147">
        <f t="shared" si="17"/>
        <v>0</v>
      </c>
    </row>
    <row r="47" spans="1:25" ht="13.5" customHeight="1" x14ac:dyDescent="0.15">
      <c r="A47" s="103"/>
      <c r="B47" s="103"/>
      <c r="C47" s="103"/>
      <c r="D47" s="150"/>
      <c r="E47" s="103"/>
      <c r="F47" s="103"/>
      <c r="G47" s="206"/>
      <c r="H47" s="69"/>
      <c r="I47" s="69"/>
      <c r="J47" s="30" t="s">
        <v>92</v>
      </c>
      <c r="K47" s="70">
        <f>L47+S47</f>
        <v>0</v>
      </c>
      <c r="L47" s="12">
        <f>SUM(M47:R47)</f>
        <v>0</v>
      </c>
      <c r="M47" s="90">
        <f>SUM(M28:M45)</f>
        <v>0</v>
      </c>
      <c r="N47" s="93">
        <f t="shared" ref="N47:Y47" si="18">SUM(N28:N45)</f>
        <v>0</v>
      </c>
      <c r="O47" s="93">
        <f t="shared" si="18"/>
        <v>0</v>
      </c>
      <c r="P47" s="93">
        <f t="shared" si="18"/>
        <v>0</v>
      </c>
      <c r="Q47" s="93">
        <f t="shared" si="18"/>
        <v>0</v>
      </c>
      <c r="R47" s="96">
        <f t="shared" si="18"/>
        <v>0</v>
      </c>
      <c r="S47" s="12">
        <f>SUM(T47:Y47)</f>
        <v>0</v>
      </c>
      <c r="T47" s="90">
        <f t="shared" si="18"/>
        <v>0</v>
      </c>
      <c r="U47" s="93">
        <f t="shared" si="18"/>
        <v>0</v>
      </c>
      <c r="V47" s="93">
        <f t="shared" si="18"/>
        <v>0</v>
      </c>
      <c r="W47" s="93">
        <f t="shared" si="18"/>
        <v>0</v>
      </c>
      <c r="X47" s="93">
        <f t="shared" si="18"/>
        <v>0</v>
      </c>
      <c r="Y47" s="70">
        <f t="shared" si="18"/>
        <v>0</v>
      </c>
    </row>
    <row r="48" spans="1:25" ht="13.5" customHeight="1" x14ac:dyDescent="0.15">
      <c r="A48" s="103"/>
      <c r="B48" s="103"/>
      <c r="C48" s="103"/>
      <c r="D48" s="150" t="s">
        <v>84</v>
      </c>
      <c r="E48" s="103"/>
      <c r="F48" s="103" t="s">
        <v>84</v>
      </c>
      <c r="G48" s="204" t="s">
        <v>95</v>
      </c>
      <c r="H48" s="78" t="s">
        <v>37</v>
      </c>
      <c r="I48" s="82" t="s">
        <v>5</v>
      </c>
      <c r="J48" s="31" t="s">
        <v>38</v>
      </c>
      <c r="K48" s="2">
        <f t="shared" si="4"/>
        <v>0</v>
      </c>
      <c r="L48" s="3">
        <f t="shared" ref="L48:L56" si="19">SUM(M48:R48)</f>
        <v>0</v>
      </c>
      <c r="M48" s="1">
        <f t="shared" ref="M48:R48" si="20">M49+M50</f>
        <v>0</v>
      </c>
      <c r="N48" s="91">
        <f t="shared" si="20"/>
        <v>0</v>
      </c>
      <c r="O48" s="91">
        <f t="shared" si="20"/>
        <v>0</v>
      </c>
      <c r="P48" s="91">
        <f t="shared" si="20"/>
        <v>0</v>
      </c>
      <c r="Q48" s="91">
        <f t="shared" si="20"/>
        <v>0</v>
      </c>
      <c r="R48" s="94">
        <f t="shared" si="20"/>
        <v>0</v>
      </c>
      <c r="S48" s="3">
        <f t="shared" si="2"/>
        <v>0</v>
      </c>
      <c r="T48" s="1">
        <f t="shared" ref="T48:Y48" si="21">T49+T50</f>
        <v>0</v>
      </c>
      <c r="U48" s="91">
        <f t="shared" si="21"/>
        <v>0</v>
      </c>
      <c r="V48" s="91">
        <f t="shared" si="21"/>
        <v>0</v>
      </c>
      <c r="W48" s="91">
        <f t="shared" si="21"/>
        <v>0</v>
      </c>
      <c r="X48" s="91">
        <f t="shared" si="21"/>
        <v>0</v>
      </c>
      <c r="Y48" s="2">
        <f t="shared" si="21"/>
        <v>0</v>
      </c>
    </row>
    <row r="49" spans="1:25" ht="13.5" customHeight="1" x14ac:dyDescent="0.15">
      <c r="A49" s="103" t="s">
        <v>83</v>
      </c>
      <c r="B49" s="103"/>
      <c r="C49" s="103" t="s">
        <v>83</v>
      </c>
      <c r="D49" s="150" t="s">
        <v>84</v>
      </c>
      <c r="E49" s="103" t="s">
        <v>83</v>
      </c>
      <c r="F49" s="103" t="s">
        <v>83</v>
      </c>
      <c r="G49" s="205"/>
      <c r="H49" s="79" t="s">
        <v>37</v>
      </c>
      <c r="I49" s="85" t="s">
        <v>6</v>
      </c>
      <c r="J49" s="32" t="s">
        <v>39</v>
      </c>
      <c r="K49" s="76">
        <f t="shared" si="4"/>
        <v>0</v>
      </c>
      <c r="L49" s="4">
        <f t="shared" si="19"/>
        <v>0</v>
      </c>
      <c r="M49" s="88"/>
      <c r="N49" s="48"/>
      <c r="O49" s="48"/>
      <c r="P49" s="48"/>
      <c r="Q49" s="48"/>
      <c r="R49" s="54"/>
      <c r="S49" s="4">
        <f t="shared" si="2"/>
        <v>0</v>
      </c>
      <c r="T49" s="88"/>
      <c r="U49" s="48"/>
      <c r="V49" s="48"/>
      <c r="W49" s="48"/>
      <c r="X49" s="48"/>
      <c r="Y49" s="75"/>
    </row>
    <row r="50" spans="1:25" ht="13.5" customHeight="1" x14ac:dyDescent="0.15">
      <c r="A50" s="103" t="s">
        <v>83</v>
      </c>
      <c r="B50" s="103"/>
      <c r="C50" s="103" t="s">
        <v>83</v>
      </c>
      <c r="D50" s="150" t="s">
        <v>84</v>
      </c>
      <c r="E50" s="103" t="s">
        <v>83</v>
      </c>
      <c r="F50" s="103" t="s">
        <v>83</v>
      </c>
      <c r="G50" s="205"/>
      <c r="H50" s="79" t="s">
        <v>37</v>
      </c>
      <c r="I50" s="85" t="s">
        <v>78</v>
      </c>
      <c r="J50" s="32" t="s">
        <v>40</v>
      </c>
      <c r="K50" s="76">
        <f t="shared" si="4"/>
        <v>0</v>
      </c>
      <c r="L50" s="4">
        <f t="shared" si="19"/>
        <v>0</v>
      </c>
      <c r="M50" s="88"/>
      <c r="N50" s="48"/>
      <c r="O50" s="48"/>
      <c r="P50" s="48"/>
      <c r="Q50" s="48"/>
      <c r="R50" s="54"/>
      <c r="S50" s="4">
        <f t="shared" si="2"/>
        <v>0</v>
      </c>
      <c r="T50" s="88"/>
      <c r="U50" s="48"/>
      <c r="V50" s="48"/>
      <c r="W50" s="48"/>
      <c r="X50" s="48"/>
      <c r="Y50" s="75"/>
    </row>
    <row r="51" spans="1:25" ht="13.5" customHeight="1" x14ac:dyDescent="0.15">
      <c r="A51" s="103" t="s">
        <v>83</v>
      </c>
      <c r="B51" s="103"/>
      <c r="C51" s="103" t="s">
        <v>83</v>
      </c>
      <c r="D51" s="150" t="s">
        <v>84</v>
      </c>
      <c r="E51" s="103" t="s">
        <v>83</v>
      </c>
      <c r="F51" s="103" t="s">
        <v>83</v>
      </c>
      <c r="G51" s="205"/>
      <c r="H51" s="79">
        <v>752000</v>
      </c>
      <c r="I51" s="83" t="s">
        <v>5</v>
      </c>
      <c r="J51" s="32" t="s">
        <v>41</v>
      </c>
      <c r="K51" s="76">
        <f t="shared" si="4"/>
        <v>0</v>
      </c>
      <c r="L51" s="4">
        <f t="shared" si="19"/>
        <v>0</v>
      </c>
      <c r="M51" s="88"/>
      <c r="N51" s="48"/>
      <c r="O51" s="48"/>
      <c r="P51" s="48"/>
      <c r="Q51" s="48"/>
      <c r="R51" s="54"/>
      <c r="S51" s="4">
        <f t="shared" si="2"/>
        <v>0</v>
      </c>
      <c r="T51" s="88"/>
      <c r="U51" s="48"/>
      <c r="V51" s="48"/>
      <c r="W51" s="48"/>
      <c r="X51" s="48"/>
      <c r="Y51" s="75"/>
    </row>
    <row r="52" spans="1:25" ht="13.5" customHeight="1" x14ac:dyDescent="0.15">
      <c r="A52" s="103"/>
      <c r="B52" s="103"/>
      <c r="C52" s="103" t="s">
        <v>83</v>
      </c>
      <c r="D52" s="150" t="s">
        <v>84</v>
      </c>
      <c r="E52" s="103" t="s">
        <v>83</v>
      </c>
      <c r="F52" s="103" t="s">
        <v>83</v>
      </c>
      <c r="G52" s="205"/>
      <c r="H52" s="79">
        <v>753000</v>
      </c>
      <c r="I52" s="83" t="s">
        <v>5</v>
      </c>
      <c r="J52" s="32" t="s">
        <v>42</v>
      </c>
      <c r="K52" s="76">
        <f t="shared" si="4"/>
        <v>0</v>
      </c>
      <c r="L52" s="4">
        <f t="shared" si="19"/>
        <v>0</v>
      </c>
      <c r="M52" s="88"/>
      <c r="N52" s="48"/>
      <c r="O52" s="48"/>
      <c r="P52" s="48"/>
      <c r="Q52" s="48"/>
      <c r="R52" s="54"/>
      <c r="S52" s="4">
        <f t="shared" si="2"/>
        <v>0</v>
      </c>
      <c r="T52" s="88"/>
      <c r="U52" s="48"/>
      <c r="V52" s="48"/>
      <c r="W52" s="48"/>
      <c r="X52" s="48"/>
      <c r="Y52" s="75"/>
    </row>
    <row r="53" spans="1:25" ht="13.5" customHeight="1" x14ac:dyDescent="0.15">
      <c r="A53" s="103" t="s">
        <v>83</v>
      </c>
      <c r="B53" s="103"/>
      <c r="C53" s="103" t="s">
        <v>83</v>
      </c>
      <c r="D53" s="150" t="s">
        <v>84</v>
      </c>
      <c r="E53" s="103" t="s">
        <v>83</v>
      </c>
      <c r="F53" s="103" t="s">
        <v>83</v>
      </c>
      <c r="G53" s="205"/>
      <c r="H53" s="79">
        <v>754000</v>
      </c>
      <c r="I53" s="83" t="s">
        <v>5</v>
      </c>
      <c r="J53" s="32" t="s">
        <v>43</v>
      </c>
      <c r="K53" s="76">
        <f t="shared" si="4"/>
        <v>0</v>
      </c>
      <c r="L53" s="4">
        <f t="shared" si="19"/>
        <v>0</v>
      </c>
      <c r="M53" s="88"/>
      <c r="N53" s="48"/>
      <c r="O53" s="48"/>
      <c r="P53" s="48"/>
      <c r="Q53" s="48"/>
      <c r="R53" s="54"/>
      <c r="S53" s="4">
        <f t="shared" si="2"/>
        <v>0</v>
      </c>
      <c r="T53" s="88"/>
      <c r="U53" s="48"/>
      <c r="V53" s="48"/>
      <c r="W53" s="48"/>
      <c r="X53" s="48"/>
      <c r="Y53" s="75"/>
    </row>
    <row r="54" spans="1:25" ht="13.5" customHeight="1" x14ac:dyDescent="0.15">
      <c r="A54" s="103" t="s">
        <v>83</v>
      </c>
      <c r="B54" s="103"/>
      <c r="C54" s="103" t="s">
        <v>83</v>
      </c>
      <c r="D54" s="150" t="s">
        <v>84</v>
      </c>
      <c r="E54" s="103" t="s">
        <v>83</v>
      </c>
      <c r="F54" s="103" t="s">
        <v>83</v>
      </c>
      <c r="G54" s="205"/>
      <c r="H54" s="79">
        <v>755000</v>
      </c>
      <c r="I54" s="83" t="s">
        <v>44</v>
      </c>
      <c r="J54" s="32" t="s">
        <v>45</v>
      </c>
      <c r="K54" s="76">
        <f t="shared" si="4"/>
        <v>0</v>
      </c>
      <c r="L54" s="4">
        <f t="shared" si="19"/>
        <v>0</v>
      </c>
      <c r="M54" s="88"/>
      <c r="N54" s="48"/>
      <c r="O54" s="48"/>
      <c r="P54" s="48"/>
      <c r="Q54" s="48"/>
      <c r="R54" s="54"/>
      <c r="S54" s="4">
        <f t="shared" si="2"/>
        <v>0</v>
      </c>
      <c r="T54" s="88"/>
      <c r="U54" s="48"/>
      <c r="V54" s="48"/>
      <c r="W54" s="48"/>
      <c r="X54" s="48"/>
      <c r="Y54" s="75"/>
    </row>
    <row r="55" spans="1:25" ht="13.5" customHeight="1" x14ac:dyDescent="0.15">
      <c r="A55" s="103" t="s">
        <v>83</v>
      </c>
      <c r="B55" s="103"/>
      <c r="C55" s="103" t="s">
        <v>83</v>
      </c>
      <c r="D55" s="150" t="s">
        <v>84</v>
      </c>
      <c r="E55" s="103" t="s">
        <v>83</v>
      </c>
      <c r="F55" s="103" t="s">
        <v>83</v>
      </c>
      <c r="G55" s="205"/>
      <c r="H55" s="79">
        <v>759000</v>
      </c>
      <c r="I55" s="83" t="s">
        <v>5</v>
      </c>
      <c r="J55" s="32" t="s">
        <v>46</v>
      </c>
      <c r="K55" s="76">
        <f t="shared" si="4"/>
        <v>0</v>
      </c>
      <c r="L55" s="4">
        <f t="shared" si="19"/>
        <v>0</v>
      </c>
      <c r="M55" s="88"/>
      <c r="N55" s="48"/>
      <c r="O55" s="48"/>
      <c r="P55" s="48"/>
      <c r="Q55" s="48"/>
      <c r="R55" s="54"/>
      <c r="S55" s="4">
        <f t="shared" si="2"/>
        <v>0</v>
      </c>
      <c r="T55" s="88"/>
      <c r="U55" s="48"/>
      <c r="V55" s="48"/>
      <c r="W55" s="48"/>
      <c r="X55" s="48"/>
      <c r="Y55" s="75"/>
    </row>
    <row r="56" spans="1:25" ht="13.5" customHeight="1" x14ac:dyDescent="0.15">
      <c r="A56" s="103" t="s">
        <v>83</v>
      </c>
      <c r="B56" s="103"/>
      <c r="C56" s="103" t="s">
        <v>83</v>
      </c>
      <c r="D56" s="150" t="s">
        <v>84</v>
      </c>
      <c r="E56" s="103" t="s">
        <v>83</v>
      </c>
      <c r="F56" s="103" t="s">
        <v>83</v>
      </c>
      <c r="G56" s="205"/>
      <c r="H56" s="79">
        <v>758000</v>
      </c>
      <c r="I56" s="83" t="s">
        <v>5</v>
      </c>
      <c r="J56" s="32" t="s">
        <v>47</v>
      </c>
      <c r="K56" s="76">
        <f t="shared" si="4"/>
        <v>0</v>
      </c>
      <c r="L56" s="4">
        <f t="shared" si="19"/>
        <v>0</v>
      </c>
      <c r="M56" s="88"/>
      <c r="N56" s="48"/>
      <c r="O56" s="48"/>
      <c r="P56" s="48"/>
      <c r="Q56" s="48"/>
      <c r="R56" s="54"/>
      <c r="S56" s="4">
        <f t="shared" si="2"/>
        <v>0</v>
      </c>
      <c r="T56" s="88"/>
      <c r="U56" s="48"/>
      <c r="V56" s="48"/>
      <c r="W56" s="48"/>
      <c r="X56" s="48"/>
      <c r="Y56" s="75"/>
    </row>
    <row r="57" spans="1:25" ht="13.5" customHeight="1" x14ac:dyDescent="0.15">
      <c r="A57" s="103"/>
      <c r="B57" s="103"/>
      <c r="C57" s="103" t="s">
        <v>83</v>
      </c>
      <c r="D57" s="150" t="s">
        <v>84</v>
      </c>
      <c r="E57" s="103" t="s">
        <v>83</v>
      </c>
      <c r="F57" s="103" t="s">
        <v>83</v>
      </c>
      <c r="G57" s="205"/>
      <c r="H57" s="22">
        <v>756000</v>
      </c>
      <c r="I57" s="168" t="s">
        <v>5</v>
      </c>
      <c r="J57" s="169" t="s">
        <v>48</v>
      </c>
      <c r="K57" s="18">
        <f t="shared" si="4"/>
        <v>0</v>
      </c>
      <c r="L57" s="15">
        <f>SUM(M57:R57)</f>
        <v>0</v>
      </c>
      <c r="M57" s="142"/>
      <c r="N57" s="109"/>
      <c r="O57" s="109"/>
      <c r="P57" s="109"/>
      <c r="Q57" s="109"/>
      <c r="R57" s="110"/>
      <c r="S57" s="15">
        <f t="shared" si="2"/>
        <v>0</v>
      </c>
      <c r="T57" s="142"/>
      <c r="U57" s="109"/>
      <c r="V57" s="109"/>
      <c r="W57" s="109"/>
      <c r="X57" s="109"/>
      <c r="Y57" s="175"/>
    </row>
    <row r="58" spans="1:25" ht="13.5" hidden="1" customHeight="1" x14ac:dyDescent="0.15">
      <c r="A58" s="103"/>
      <c r="B58" s="103"/>
      <c r="C58" s="103"/>
      <c r="D58" s="150"/>
      <c r="E58" s="103"/>
      <c r="F58" s="103" t="s">
        <v>83</v>
      </c>
      <c r="G58" s="205"/>
      <c r="H58" s="80" t="s">
        <v>114</v>
      </c>
      <c r="I58" s="84" t="s">
        <v>5</v>
      </c>
      <c r="J58" s="81" t="s">
        <v>115</v>
      </c>
      <c r="K58" s="70"/>
      <c r="L58" s="12"/>
      <c r="M58" s="89">
        <f t="shared" ref="M58:R58" si="22">SUM(M49:M57)</f>
        <v>0</v>
      </c>
      <c r="N58" s="92">
        <f t="shared" si="22"/>
        <v>0</v>
      </c>
      <c r="O58" s="92">
        <f t="shared" si="22"/>
        <v>0</v>
      </c>
      <c r="P58" s="92">
        <f t="shared" si="22"/>
        <v>0</v>
      </c>
      <c r="Q58" s="92">
        <f t="shared" si="22"/>
        <v>0</v>
      </c>
      <c r="R58" s="95">
        <f t="shared" si="22"/>
        <v>0</v>
      </c>
      <c r="S58" s="12"/>
      <c r="T58" s="89">
        <f t="shared" ref="T58:Y58" si="23">SUM(T49:T57)</f>
        <v>0</v>
      </c>
      <c r="U58" s="92">
        <f t="shared" si="23"/>
        <v>0</v>
      </c>
      <c r="V58" s="92">
        <f t="shared" si="23"/>
        <v>0</v>
      </c>
      <c r="W58" s="92">
        <f t="shared" si="23"/>
        <v>0</v>
      </c>
      <c r="X58" s="92">
        <f t="shared" si="23"/>
        <v>0</v>
      </c>
      <c r="Y58" s="95">
        <f t="shared" si="23"/>
        <v>0</v>
      </c>
    </row>
    <row r="59" spans="1:25" ht="13.5" customHeight="1" x14ac:dyDescent="0.15">
      <c r="A59" s="103"/>
      <c r="B59" s="103"/>
      <c r="C59" s="103"/>
      <c r="D59" s="150"/>
      <c r="E59" s="103"/>
      <c r="F59" s="103"/>
      <c r="G59" s="205"/>
      <c r="H59" s="69"/>
      <c r="I59" s="69"/>
      <c r="J59" s="81" t="s">
        <v>92</v>
      </c>
      <c r="K59" s="70">
        <f>L59+S59</f>
        <v>0</v>
      </c>
      <c r="L59" s="12">
        <f>SUM(M59:R59)</f>
        <v>0</v>
      </c>
      <c r="M59" s="90">
        <f t="shared" ref="M59:R59" si="24">SUM(M49:M57)</f>
        <v>0</v>
      </c>
      <c r="N59" s="93">
        <f t="shared" si="24"/>
        <v>0</v>
      </c>
      <c r="O59" s="93">
        <f t="shared" si="24"/>
        <v>0</v>
      </c>
      <c r="P59" s="93">
        <f t="shared" si="24"/>
        <v>0</v>
      </c>
      <c r="Q59" s="93">
        <f t="shared" si="24"/>
        <v>0</v>
      </c>
      <c r="R59" s="96">
        <f t="shared" si="24"/>
        <v>0</v>
      </c>
      <c r="S59" s="12">
        <f>SUM(T59:Y59)</f>
        <v>0</v>
      </c>
      <c r="T59" s="90">
        <f t="shared" ref="T59:Y59" si="25">SUM(T49:T57)</f>
        <v>0</v>
      </c>
      <c r="U59" s="93">
        <f t="shared" si="25"/>
        <v>0</v>
      </c>
      <c r="V59" s="93">
        <f t="shared" si="25"/>
        <v>0</v>
      </c>
      <c r="W59" s="93">
        <f t="shared" si="25"/>
        <v>0</v>
      </c>
      <c r="X59" s="93">
        <f t="shared" si="25"/>
        <v>0</v>
      </c>
      <c r="Y59" s="70">
        <f t="shared" si="25"/>
        <v>0</v>
      </c>
    </row>
    <row r="60" spans="1:25" ht="13.5" customHeight="1" x14ac:dyDescent="0.15">
      <c r="A60" s="103"/>
      <c r="B60" s="103"/>
      <c r="C60" s="103" t="s">
        <v>83</v>
      </c>
      <c r="D60" s="150" t="s">
        <v>84</v>
      </c>
      <c r="E60" s="103" t="s">
        <v>83</v>
      </c>
      <c r="F60" s="103" t="s">
        <v>83</v>
      </c>
      <c r="G60" s="206"/>
      <c r="H60" s="80">
        <v>782000</v>
      </c>
      <c r="I60" s="84" t="s">
        <v>5</v>
      </c>
      <c r="J60" s="81" t="s">
        <v>56</v>
      </c>
      <c r="K60" s="70">
        <f t="shared" ref="K60" si="26">L60+S60</f>
        <v>0</v>
      </c>
      <c r="L60" s="12">
        <f t="shared" ref="L60" si="27">SUM(M60:R60)</f>
        <v>0</v>
      </c>
      <c r="M60" s="89"/>
      <c r="N60" s="92"/>
      <c r="O60" s="92"/>
      <c r="P60" s="92"/>
      <c r="Q60" s="92"/>
      <c r="R60" s="95"/>
      <c r="S60" s="12">
        <f t="shared" ref="S60" si="28">SUM(T60:Y60)</f>
        <v>0</v>
      </c>
      <c r="T60" s="89"/>
      <c r="U60" s="92"/>
      <c r="V60" s="92"/>
      <c r="W60" s="92"/>
      <c r="X60" s="92"/>
      <c r="Y60" s="72"/>
    </row>
    <row r="61" spans="1:25" ht="13.5" customHeight="1" x14ac:dyDescent="0.15">
      <c r="A61" s="103"/>
      <c r="B61" s="103"/>
      <c r="C61" s="103"/>
      <c r="D61" s="150"/>
      <c r="E61" s="103"/>
      <c r="F61" s="103"/>
      <c r="G61" s="97"/>
      <c r="H61" s="73"/>
      <c r="I61" s="73"/>
      <c r="J61" s="30" t="s">
        <v>91</v>
      </c>
      <c r="K61" s="14">
        <f>L61+S61</f>
        <v>0</v>
      </c>
      <c r="L61" s="7">
        <f>SUM(M61:R61)</f>
        <v>0</v>
      </c>
      <c r="M61" s="13">
        <f>M27+M47+M59+M60</f>
        <v>0</v>
      </c>
      <c r="N61" s="8">
        <f>N27+N47+N59</f>
        <v>0</v>
      </c>
      <c r="O61" s="8">
        <f>O27+O47+O59</f>
        <v>0</v>
      </c>
      <c r="P61" s="8">
        <f>P27+P47+P59</f>
        <v>0</v>
      </c>
      <c r="Q61" s="8">
        <f>Q27+Q47+Q59</f>
        <v>0</v>
      </c>
      <c r="R61" s="16">
        <f>R27+R47+R59</f>
        <v>0</v>
      </c>
      <c r="S61" s="7">
        <f>SUM(T61:Y61)</f>
        <v>0</v>
      </c>
      <c r="T61" s="13">
        <f t="shared" ref="T61:Y61" si="29">T27+T47+T59</f>
        <v>0</v>
      </c>
      <c r="U61" s="8">
        <f t="shared" si="29"/>
        <v>0</v>
      </c>
      <c r="V61" s="8">
        <f t="shared" si="29"/>
        <v>0</v>
      </c>
      <c r="W61" s="8">
        <f t="shared" si="29"/>
        <v>0</v>
      </c>
      <c r="X61" s="8">
        <f t="shared" si="29"/>
        <v>0</v>
      </c>
      <c r="Y61" s="14">
        <f t="shared" si="29"/>
        <v>0</v>
      </c>
    </row>
    <row r="62" spans="1:25" ht="13.5" customHeight="1" x14ac:dyDescent="0.15">
      <c r="A62" s="103"/>
      <c r="B62" s="103"/>
      <c r="C62" s="103" t="s">
        <v>83</v>
      </c>
      <c r="D62" s="150" t="s">
        <v>84</v>
      </c>
      <c r="E62" s="103" t="s">
        <v>83</v>
      </c>
      <c r="F62" s="103" t="s">
        <v>83</v>
      </c>
      <c r="G62" s="98"/>
      <c r="H62" s="166">
        <v>765000</v>
      </c>
      <c r="I62" s="176" t="s">
        <v>5</v>
      </c>
      <c r="J62" s="30" t="s">
        <v>49</v>
      </c>
      <c r="K62" s="14">
        <f t="shared" si="4"/>
        <v>0</v>
      </c>
      <c r="L62" s="7">
        <f>SUM(M62:R62)</f>
        <v>0</v>
      </c>
      <c r="M62" s="145"/>
      <c r="N62" s="146"/>
      <c r="O62" s="146"/>
      <c r="P62" s="146"/>
      <c r="Q62" s="146"/>
      <c r="R62" s="147"/>
      <c r="S62" s="7">
        <f>SUM(T62:Y62)</f>
        <v>0</v>
      </c>
      <c r="T62" s="145"/>
      <c r="U62" s="146"/>
      <c r="V62" s="146"/>
      <c r="W62" s="146"/>
      <c r="X62" s="146"/>
      <c r="Y62" s="177"/>
    </row>
    <row r="63" spans="1:25" ht="13.5" hidden="1" customHeight="1" x14ac:dyDescent="0.15">
      <c r="A63" s="103"/>
      <c r="B63" s="103"/>
      <c r="C63" s="103"/>
      <c r="D63" s="150"/>
      <c r="E63" s="103"/>
      <c r="F63" s="103" t="s">
        <v>84</v>
      </c>
      <c r="G63" s="98"/>
      <c r="H63" s="87" t="s">
        <v>102</v>
      </c>
      <c r="I63" s="86" t="s">
        <v>5</v>
      </c>
      <c r="J63" s="81" t="s">
        <v>101</v>
      </c>
      <c r="K63" s="70">
        <f>K59+K61</f>
        <v>0</v>
      </c>
      <c r="L63" s="12">
        <f>L59+L61</f>
        <v>0</v>
      </c>
      <c r="M63" s="90">
        <f t="shared" ref="M63:R63" si="30">M61+M62</f>
        <v>0</v>
      </c>
      <c r="N63" s="93">
        <f t="shared" si="30"/>
        <v>0</v>
      </c>
      <c r="O63" s="93">
        <f t="shared" si="30"/>
        <v>0</v>
      </c>
      <c r="P63" s="93">
        <f t="shared" si="30"/>
        <v>0</v>
      </c>
      <c r="Q63" s="93">
        <f t="shared" si="30"/>
        <v>0</v>
      </c>
      <c r="R63" s="96">
        <f t="shared" si="30"/>
        <v>0</v>
      </c>
      <c r="S63" s="12">
        <f>S59+S61</f>
        <v>0</v>
      </c>
      <c r="T63" s="90">
        <f t="shared" ref="T63:Y63" si="31">T61+T62</f>
        <v>0</v>
      </c>
      <c r="U63" s="93">
        <f t="shared" si="31"/>
        <v>0</v>
      </c>
      <c r="V63" s="93">
        <f t="shared" si="31"/>
        <v>0</v>
      </c>
      <c r="W63" s="93">
        <f t="shared" si="31"/>
        <v>0</v>
      </c>
      <c r="X63" s="93">
        <f t="shared" si="31"/>
        <v>0</v>
      </c>
      <c r="Y63" s="96">
        <f t="shared" si="31"/>
        <v>0</v>
      </c>
    </row>
    <row r="64" spans="1:25" ht="13.5" customHeight="1" x14ac:dyDescent="0.15">
      <c r="A64" s="103"/>
      <c r="B64" s="103"/>
      <c r="C64" s="103"/>
      <c r="D64" s="150"/>
      <c r="E64" s="103"/>
      <c r="F64" s="103"/>
      <c r="G64" s="98"/>
      <c r="H64" s="71"/>
      <c r="I64" s="74"/>
      <c r="J64" s="81" t="s">
        <v>50</v>
      </c>
      <c r="K64" s="70">
        <f>L64+S64</f>
        <v>0</v>
      </c>
      <c r="L64" s="12">
        <f>SUM(M64:R64)</f>
        <v>0</v>
      </c>
      <c r="M64" s="90">
        <f t="shared" ref="M64:R64" si="32">M61+M62</f>
        <v>0</v>
      </c>
      <c r="N64" s="93">
        <f t="shared" si="32"/>
        <v>0</v>
      </c>
      <c r="O64" s="93">
        <f t="shared" si="32"/>
        <v>0</v>
      </c>
      <c r="P64" s="93">
        <f t="shared" si="32"/>
        <v>0</v>
      </c>
      <c r="Q64" s="93">
        <f t="shared" si="32"/>
        <v>0</v>
      </c>
      <c r="R64" s="96">
        <f t="shared" si="32"/>
        <v>0</v>
      </c>
      <c r="S64" s="12">
        <f>SUM(T64:Y64)</f>
        <v>0</v>
      </c>
      <c r="T64" s="90">
        <f t="shared" ref="T64:Y64" si="33">T61+T62</f>
        <v>0</v>
      </c>
      <c r="U64" s="93">
        <f t="shared" si="33"/>
        <v>0</v>
      </c>
      <c r="V64" s="93">
        <f t="shared" si="33"/>
        <v>0</v>
      </c>
      <c r="W64" s="93">
        <f t="shared" si="33"/>
        <v>0</v>
      </c>
      <c r="X64" s="93">
        <f t="shared" si="33"/>
        <v>0</v>
      </c>
      <c r="Y64" s="70">
        <f t="shared" si="33"/>
        <v>0</v>
      </c>
    </row>
    <row r="65" spans="1:25" ht="13.5" customHeight="1" x14ac:dyDescent="0.15">
      <c r="A65" s="103"/>
      <c r="B65" s="103"/>
      <c r="C65" s="103"/>
      <c r="D65" s="150" t="s">
        <v>84</v>
      </c>
      <c r="E65" s="103" t="s">
        <v>84</v>
      </c>
      <c r="F65" s="103"/>
      <c r="G65" s="205" t="s">
        <v>96</v>
      </c>
      <c r="H65" s="78">
        <v>761000</v>
      </c>
      <c r="I65" s="82" t="s">
        <v>10</v>
      </c>
      <c r="J65" s="31" t="s">
        <v>51</v>
      </c>
      <c r="K65" s="2">
        <f t="shared" ref="K65:K69" si="34">L65+S65</f>
        <v>0</v>
      </c>
      <c r="L65" s="3">
        <f t="shared" ref="L65:L69" si="35">SUM(M65:R65)</f>
        <v>0</v>
      </c>
      <c r="M65" s="183"/>
      <c r="N65" s="184"/>
      <c r="O65" s="184"/>
      <c r="P65" s="184"/>
      <c r="Q65" s="184"/>
      <c r="R65" s="185"/>
      <c r="S65" s="3">
        <f t="shared" ref="S65:S69" si="36">SUM(T65:Y65)</f>
        <v>0</v>
      </c>
      <c r="T65" s="183"/>
      <c r="U65" s="184"/>
      <c r="V65" s="184"/>
      <c r="W65" s="184"/>
      <c r="X65" s="184"/>
      <c r="Y65" s="189"/>
    </row>
    <row r="66" spans="1:25" ht="13.5" customHeight="1" x14ac:dyDescent="0.15">
      <c r="A66" s="103"/>
      <c r="B66" s="103"/>
      <c r="C66" s="103"/>
      <c r="D66" s="150" t="s">
        <v>84</v>
      </c>
      <c r="E66" s="103" t="s">
        <v>84</v>
      </c>
      <c r="F66" s="103"/>
      <c r="G66" s="205"/>
      <c r="H66" s="79">
        <v>762000</v>
      </c>
      <c r="I66" s="83" t="s">
        <v>10</v>
      </c>
      <c r="J66" s="32" t="s">
        <v>52</v>
      </c>
      <c r="K66" s="76">
        <f t="shared" si="34"/>
        <v>0</v>
      </c>
      <c r="L66" s="4">
        <f t="shared" si="35"/>
        <v>0</v>
      </c>
      <c r="M66" s="186"/>
      <c r="N66" s="187"/>
      <c r="O66" s="187"/>
      <c r="P66" s="187"/>
      <c r="Q66" s="187"/>
      <c r="R66" s="188"/>
      <c r="S66" s="4">
        <f t="shared" si="36"/>
        <v>0</v>
      </c>
      <c r="T66" s="186"/>
      <c r="U66" s="187"/>
      <c r="V66" s="187"/>
      <c r="W66" s="187"/>
      <c r="X66" s="187"/>
      <c r="Y66" s="190"/>
    </row>
    <row r="67" spans="1:25" ht="13.5" customHeight="1" x14ac:dyDescent="0.15">
      <c r="A67" s="103"/>
      <c r="B67" s="103"/>
      <c r="C67" s="103"/>
      <c r="D67" s="150" t="s">
        <v>84</v>
      </c>
      <c r="E67" s="103" t="s">
        <v>84</v>
      </c>
      <c r="F67" s="103"/>
      <c r="G67" s="205"/>
      <c r="H67" s="79">
        <v>763000</v>
      </c>
      <c r="I67" s="83" t="s">
        <v>26</v>
      </c>
      <c r="J67" s="32" t="s">
        <v>53</v>
      </c>
      <c r="K67" s="76">
        <f t="shared" si="34"/>
        <v>0</v>
      </c>
      <c r="L67" s="4">
        <f t="shared" si="35"/>
        <v>0</v>
      </c>
      <c r="M67" s="186"/>
      <c r="N67" s="187"/>
      <c r="O67" s="187"/>
      <c r="P67" s="187"/>
      <c r="Q67" s="187"/>
      <c r="R67" s="188"/>
      <c r="S67" s="4">
        <f t="shared" si="36"/>
        <v>0</v>
      </c>
      <c r="T67" s="186"/>
      <c r="U67" s="187"/>
      <c r="V67" s="187"/>
      <c r="W67" s="187"/>
      <c r="X67" s="187"/>
      <c r="Y67" s="190"/>
    </row>
    <row r="68" spans="1:25" ht="13.5" customHeight="1" x14ac:dyDescent="0.15">
      <c r="A68" s="103"/>
      <c r="B68" s="103"/>
      <c r="C68" s="103"/>
      <c r="D68" s="150" t="s">
        <v>84</v>
      </c>
      <c r="E68" s="103" t="s">
        <v>83</v>
      </c>
      <c r="F68" s="103"/>
      <c r="G68" s="205"/>
      <c r="H68" s="79">
        <v>764000</v>
      </c>
      <c r="I68" s="83" t="s">
        <v>16</v>
      </c>
      <c r="J68" s="32" t="s">
        <v>54</v>
      </c>
      <c r="K68" s="170">
        <f t="shared" si="34"/>
        <v>0</v>
      </c>
      <c r="L68" s="10">
        <f t="shared" si="35"/>
        <v>0</v>
      </c>
      <c r="M68" s="171"/>
      <c r="N68" s="172"/>
      <c r="O68" s="172"/>
      <c r="P68" s="172"/>
      <c r="Q68" s="172"/>
      <c r="R68" s="173"/>
      <c r="S68" s="10">
        <f t="shared" si="36"/>
        <v>0</v>
      </c>
      <c r="T68" s="171"/>
      <c r="U68" s="172"/>
      <c r="V68" s="172"/>
      <c r="W68" s="172"/>
      <c r="X68" s="172"/>
      <c r="Y68" s="174"/>
    </row>
    <row r="69" spans="1:25" ht="13.5" customHeight="1" x14ac:dyDescent="0.15">
      <c r="A69" s="103"/>
      <c r="B69" s="103"/>
      <c r="C69" s="103" t="s">
        <v>83</v>
      </c>
      <c r="D69" s="150" t="s">
        <v>84</v>
      </c>
      <c r="E69" s="103" t="s">
        <v>83</v>
      </c>
      <c r="F69" s="103" t="s">
        <v>83</v>
      </c>
      <c r="G69" s="205"/>
      <c r="H69" s="22">
        <v>781000</v>
      </c>
      <c r="I69" s="168" t="s">
        <v>5</v>
      </c>
      <c r="J69" s="169" t="s">
        <v>55</v>
      </c>
      <c r="K69" s="15">
        <f t="shared" si="34"/>
        <v>0</v>
      </c>
      <c r="L69" s="15">
        <f t="shared" si="35"/>
        <v>0</v>
      </c>
      <c r="M69" s="142"/>
      <c r="N69" s="109"/>
      <c r="O69" s="109"/>
      <c r="P69" s="109"/>
      <c r="Q69" s="109"/>
      <c r="R69" s="110"/>
      <c r="S69" s="15">
        <f t="shared" si="36"/>
        <v>0</v>
      </c>
      <c r="T69" s="142"/>
      <c r="U69" s="109"/>
      <c r="V69" s="109"/>
      <c r="W69" s="109"/>
      <c r="X69" s="109"/>
      <c r="Y69" s="175"/>
    </row>
    <row r="70" spans="1:25" ht="13.5" hidden="1" customHeight="1" x14ac:dyDescent="0.15">
      <c r="A70" s="103"/>
      <c r="B70" s="103"/>
      <c r="C70" s="103"/>
      <c r="D70" s="150"/>
      <c r="E70" s="103"/>
      <c r="F70" s="103" t="s">
        <v>84</v>
      </c>
      <c r="G70" s="98"/>
      <c r="H70" s="74" t="s">
        <v>103</v>
      </c>
      <c r="I70" s="167" t="s">
        <v>5</v>
      </c>
      <c r="J70" s="81" t="s">
        <v>104</v>
      </c>
      <c r="K70" s="70"/>
      <c r="L70" s="12"/>
      <c r="M70" s="133" t="e">
        <f>#REF!+M69+#REF!</f>
        <v>#REF!</v>
      </c>
      <c r="N70" s="134" t="e">
        <f>#REF!+N69+#REF!</f>
        <v>#REF!</v>
      </c>
      <c r="O70" s="134" t="e">
        <f>#REF!+O69+#REF!</f>
        <v>#REF!</v>
      </c>
      <c r="P70" s="134" t="e">
        <f>#REF!+P69+#REF!</f>
        <v>#REF!</v>
      </c>
      <c r="Q70" s="134" t="e">
        <f>#REF!+Q69+#REF!</f>
        <v>#REF!</v>
      </c>
      <c r="R70" s="135" t="e">
        <f>#REF!+R69+#REF!</f>
        <v>#REF!</v>
      </c>
      <c r="S70" s="12"/>
      <c r="T70" s="133" t="e">
        <f>#REF!+T69+#REF!</f>
        <v>#REF!</v>
      </c>
      <c r="U70" s="134" t="e">
        <f>#REF!+U69+#REF!</f>
        <v>#REF!</v>
      </c>
      <c r="V70" s="134" t="e">
        <f>#REF!+V69+#REF!</f>
        <v>#REF!</v>
      </c>
      <c r="W70" s="134" t="e">
        <f>#REF!+W69+#REF!</f>
        <v>#REF!</v>
      </c>
      <c r="X70" s="134" t="e">
        <f>#REF!+X69+#REF!</f>
        <v>#REF!</v>
      </c>
      <c r="Y70" s="135" t="e">
        <f>#REF!+Y69+#REF!</f>
        <v>#REF!</v>
      </c>
    </row>
    <row r="71" spans="1:25" ht="13.5" customHeight="1" x14ac:dyDescent="0.15">
      <c r="A71" s="103"/>
      <c r="B71" s="103"/>
      <c r="C71" s="103"/>
      <c r="D71" s="150"/>
      <c r="E71" s="103"/>
      <c r="F71" s="103"/>
      <c r="G71" s="81"/>
      <c r="H71" s="69"/>
      <c r="I71" s="69"/>
      <c r="J71" s="81" t="s">
        <v>57</v>
      </c>
      <c r="K71" s="70">
        <f>L71+S71</f>
        <v>0</v>
      </c>
      <c r="L71" s="12">
        <f>SUM(M71:R71)</f>
        <v>0</v>
      </c>
      <c r="M71" s="90">
        <f>M64+SUM(M65:M69)</f>
        <v>0</v>
      </c>
      <c r="N71" s="93">
        <f t="shared" ref="N71:R71" si="37">N64+SUM(N65:N69)</f>
        <v>0</v>
      </c>
      <c r="O71" s="93">
        <f t="shared" si="37"/>
        <v>0</v>
      </c>
      <c r="P71" s="93">
        <f t="shared" si="37"/>
        <v>0</v>
      </c>
      <c r="Q71" s="93">
        <f t="shared" si="37"/>
        <v>0</v>
      </c>
      <c r="R71" s="96">
        <f t="shared" si="37"/>
        <v>0</v>
      </c>
      <c r="S71" s="12">
        <f>SUM(T71:Y71)</f>
        <v>0</v>
      </c>
      <c r="T71" s="90">
        <f t="shared" ref="T71:Y71" si="38">T64+SUM(T65:T69)</f>
        <v>0</v>
      </c>
      <c r="U71" s="93">
        <f t="shared" si="38"/>
        <v>0</v>
      </c>
      <c r="V71" s="93">
        <f t="shared" si="38"/>
        <v>0</v>
      </c>
      <c r="W71" s="93">
        <f t="shared" si="38"/>
        <v>0</v>
      </c>
      <c r="X71" s="93">
        <f t="shared" si="38"/>
        <v>0</v>
      </c>
      <c r="Y71" s="70">
        <f t="shared" si="38"/>
        <v>0</v>
      </c>
    </row>
    <row r="72" spans="1:25" ht="13.5" customHeight="1" x14ac:dyDescent="0.15">
      <c r="A72" s="104"/>
      <c r="B72" s="104"/>
      <c r="C72" s="104"/>
      <c r="D72" s="150"/>
      <c r="E72" s="104"/>
      <c r="F72" s="104"/>
      <c r="G72" s="99"/>
      <c r="H72" s="65"/>
      <c r="I72" s="66"/>
      <c r="J72" s="67"/>
      <c r="K72" s="67"/>
      <c r="L72" s="67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</row>
    <row r="73" spans="1:25" ht="13.5" customHeight="1" x14ac:dyDescent="0.15">
      <c r="A73" s="103"/>
      <c r="B73" s="103"/>
      <c r="C73" s="103" t="s">
        <v>83</v>
      </c>
      <c r="D73" s="150" t="s">
        <v>84</v>
      </c>
      <c r="E73" s="103" t="s">
        <v>83</v>
      </c>
      <c r="F73" s="103" t="s">
        <v>83</v>
      </c>
      <c r="G73" s="100"/>
      <c r="H73" s="19">
        <v>680000</v>
      </c>
      <c r="I73" s="24" t="s">
        <v>5</v>
      </c>
      <c r="J73" s="34" t="s">
        <v>58</v>
      </c>
      <c r="K73" s="17">
        <f>L73+S73</f>
        <v>0</v>
      </c>
      <c r="L73" s="11">
        <f>SUM(M73:R73)</f>
        <v>0</v>
      </c>
      <c r="M73" s="62"/>
      <c r="N73" s="56"/>
      <c r="O73" s="56"/>
      <c r="P73" s="56"/>
      <c r="Q73" s="56"/>
      <c r="R73" s="56"/>
      <c r="S73" s="3">
        <f>SUM(T73:Y73)</f>
        <v>0</v>
      </c>
      <c r="T73" s="52"/>
      <c r="U73" s="57"/>
      <c r="V73" s="57"/>
      <c r="W73" s="57"/>
      <c r="X73" s="57"/>
      <c r="Y73" s="64"/>
    </row>
    <row r="74" spans="1:25" ht="13.5" customHeight="1" x14ac:dyDescent="0.15">
      <c r="A74" s="103"/>
      <c r="B74" s="103"/>
      <c r="C74" s="103"/>
      <c r="D74" s="150" t="s">
        <v>84</v>
      </c>
      <c r="E74" s="103" t="s">
        <v>83</v>
      </c>
      <c r="F74" s="103"/>
      <c r="G74" s="101"/>
      <c r="H74" s="23" t="s">
        <v>59</v>
      </c>
      <c r="I74" s="28" t="s">
        <v>5</v>
      </c>
      <c r="J74" s="33" t="s">
        <v>60</v>
      </c>
      <c r="K74" s="18">
        <f>L74+S74</f>
        <v>0</v>
      </c>
      <c r="L74" s="10">
        <f>SUM(M74:R74)</f>
        <v>0</v>
      </c>
      <c r="M74" s="153"/>
      <c r="N74" s="156"/>
      <c r="O74" s="156"/>
      <c r="P74" s="156"/>
      <c r="Q74" s="156"/>
      <c r="R74" s="156"/>
      <c r="S74" s="15">
        <f>SUM(T74:Y74)</f>
        <v>0</v>
      </c>
      <c r="T74" s="156"/>
      <c r="U74" s="154"/>
      <c r="V74" s="154"/>
      <c r="W74" s="154"/>
      <c r="X74" s="154"/>
      <c r="Y74" s="157"/>
    </row>
    <row r="75" spans="1:25" ht="13.5" customHeight="1" x14ac:dyDescent="0.15">
      <c r="A75" s="104"/>
      <c r="B75" s="104"/>
      <c r="C75" s="104"/>
      <c r="D75" s="150"/>
      <c r="E75" s="104"/>
      <c r="F75" s="104"/>
      <c r="G75" s="102"/>
      <c r="H75" s="43"/>
      <c r="I75" s="44"/>
      <c r="J75" s="45"/>
      <c r="K75" s="45"/>
      <c r="L75" s="45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13.5" customHeight="1" x14ac:dyDescent="0.15">
      <c r="A76" s="103"/>
      <c r="B76" s="103"/>
      <c r="C76" s="103" t="s">
        <v>83</v>
      </c>
      <c r="D76" s="150" t="s">
        <v>84</v>
      </c>
      <c r="E76" s="103" t="s">
        <v>83</v>
      </c>
      <c r="F76" s="103" t="s">
        <v>83</v>
      </c>
      <c r="G76" s="201" t="s">
        <v>98</v>
      </c>
      <c r="H76" s="19">
        <v>811000</v>
      </c>
      <c r="I76" s="24" t="s">
        <v>5</v>
      </c>
      <c r="J76" s="35" t="s">
        <v>61</v>
      </c>
      <c r="K76" s="3">
        <f t="shared" ref="K76:K88" si="39">L76+S76</f>
        <v>0</v>
      </c>
      <c r="L76" s="11">
        <f t="shared" ref="L76:L88" si="40">SUM(M76:R76)</f>
        <v>0</v>
      </c>
      <c r="M76" s="62"/>
      <c r="N76" s="57"/>
      <c r="O76" s="57"/>
      <c r="P76" s="57"/>
      <c r="Q76" s="57"/>
      <c r="R76" s="58"/>
      <c r="S76" s="3">
        <f t="shared" ref="S76:S88" si="41">SUM(T76:Y76)</f>
        <v>0</v>
      </c>
      <c r="T76" s="52"/>
      <c r="U76" s="57"/>
      <c r="V76" s="57"/>
      <c r="W76" s="57"/>
      <c r="X76" s="57"/>
      <c r="Y76" s="55"/>
    </row>
    <row r="77" spans="1:25" ht="13.5" customHeight="1" x14ac:dyDescent="0.15">
      <c r="A77" s="103"/>
      <c r="B77" s="103"/>
      <c r="C77" s="103" t="s">
        <v>83</v>
      </c>
      <c r="D77" s="150" t="s">
        <v>84</v>
      </c>
      <c r="E77" s="103" t="s">
        <v>83</v>
      </c>
      <c r="F77" s="103" t="s">
        <v>83</v>
      </c>
      <c r="G77" s="202"/>
      <c r="H77" s="20">
        <v>812000</v>
      </c>
      <c r="I77" s="25" t="s">
        <v>79</v>
      </c>
      <c r="J77" s="36" t="s">
        <v>62</v>
      </c>
      <c r="K77" s="4">
        <f t="shared" si="39"/>
        <v>0</v>
      </c>
      <c r="L77" s="4">
        <f t="shared" si="40"/>
        <v>0</v>
      </c>
      <c r="M77" s="47"/>
      <c r="N77" s="48"/>
      <c r="O77" s="48"/>
      <c r="P77" s="48"/>
      <c r="Q77" s="48"/>
      <c r="R77" s="49"/>
      <c r="S77" s="4">
        <f t="shared" si="41"/>
        <v>0</v>
      </c>
      <c r="T77" s="53"/>
      <c r="U77" s="48"/>
      <c r="V77" s="48"/>
      <c r="W77" s="48"/>
      <c r="X77" s="48"/>
      <c r="Y77" s="54"/>
    </row>
    <row r="78" spans="1:25" ht="13.5" customHeight="1" x14ac:dyDescent="0.15">
      <c r="A78" s="103"/>
      <c r="B78" s="103"/>
      <c r="C78" s="103" t="s">
        <v>83</v>
      </c>
      <c r="D78" s="150" t="s">
        <v>84</v>
      </c>
      <c r="E78" s="103" t="s">
        <v>83</v>
      </c>
      <c r="F78" s="103" t="s">
        <v>83</v>
      </c>
      <c r="G78" s="202"/>
      <c r="H78" s="20">
        <v>813000</v>
      </c>
      <c r="I78" s="25" t="s">
        <v>26</v>
      </c>
      <c r="J78" s="36" t="s">
        <v>63</v>
      </c>
      <c r="K78" s="4">
        <f t="shared" si="39"/>
        <v>0</v>
      </c>
      <c r="L78" s="4">
        <f t="shared" si="40"/>
        <v>0</v>
      </c>
      <c r="M78" s="47"/>
      <c r="N78" s="48"/>
      <c r="O78" s="48"/>
      <c r="P78" s="48"/>
      <c r="Q78" s="48"/>
      <c r="R78" s="58"/>
      <c r="S78" s="4">
        <f t="shared" si="41"/>
        <v>0</v>
      </c>
      <c r="T78" s="53"/>
      <c r="U78" s="57"/>
      <c r="V78" s="57"/>
      <c r="W78" s="57"/>
      <c r="X78" s="57"/>
      <c r="Y78" s="64"/>
    </row>
    <row r="79" spans="1:25" ht="13.5" customHeight="1" x14ac:dyDescent="0.15">
      <c r="A79" s="103"/>
      <c r="B79" s="103"/>
      <c r="C79" s="103" t="s">
        <v>83</v>
      </c>
      <c r="D79" s="150" t="s">
        <v>84</v>
      </c>
      <c r="E79" s="103" t="s">
        <v>83</v>
      </c>
      <c r="F79" s="103" t="s">
        <v>83</v>
      </c>
      <c r="G79" s="202"/>
      <c r="H79" s="21">
        <v>814000</v>
      </c>
      <c r="I79" s="26" t="s">
        <v>10</v>
      </c>
      <c r="J79" s="37" t="s">
        <v>64</v>
      </c>
      <c r="K79" s="5">
        <f t="shared" si="39"/>
        <v>0</v>
      </c>
      <c r="L79" s="5">
        <f t="shared" si="40"/>
        <v>0</v>
      </c>
      <c r="M79" s="47"/>
      <c r="N79" s="51"/>
      <c r="O79" s="51"/>
      <c r="P79" s="51"/>
      <c r="Q79" s="51"/>
      <c r="R79" s="49"/>
      <c r="S79" s="5">
        <f t="shared" si="41"/>
        <v>0</v>
      </c>
      <c r="T79" s="53"/>
      <c r="U79" s="48"/>
      <c r="V79" s="48"/>
      <c r="W79" s="48"/>
      <c r="X79" s="48"/>
      <c r="Y79" s="54"/>
    </row>
    <row r="80" spans="1:25" ht="13.5" customHeight="1" x14ac:dyDescent="0.15">
      <c r="A80" s="103"/>
      <c r="B80" s="103"/>
      <c r="C80" s="103" t="s">
        <v>83</v>
      </c>
      <c r="D80" s="150" t="s">
        <v>84</v>
      </c>
      <c r="E80" s="103" t="s">
        <v>83</v>
      </c>
      <c r="F80" s="103" t="s">
        <v>83</v>
      </c>
      <c r="G80" s="202"/>
      <c r="H80" s="20">
        <v>819000</v>
      </c>
      <c r="I80" s="25" t="s">
        <v>80</v>
      </c>
      <c r="J80" s="33" t="s">
        <v>65</v>
      </c>
      <c r="K80" s="5">
        <f t="shared" si="39"/>
        <v>0</v>
      </c>
      <c r="L80" s="5">
        <f t="shared" si="40"/>
        <v>0</v>
      </c>
      <c r="M80" s="63"/>
      <c r="N80" s="51"/>
      <c r="O80" s="51"/>
      <c r="P80" s="51"/>
      <c r="Q80" s="51"/>
      <c r="R80" s="60"/>
      <c r="S80" s="5">
        <f t="shared" si="41"/>
        <v>0</v>
      </c>
      <c r="T80" s="61"/>
      <c r="U80" s="51"/>
      <c r="V80" s="51"/>
      <c r="W80" s="51"/>
      <c r="X80" s="51"/>
      <c r="Y80" s="59"/>
    </row>
    <row r="81" spans="1:25" ht="13.5" hidden="1" customHeight="1" x14ac:dyDescent="0.15">
      <c r="A81" s="103"/>
      <c r="B81" s="103"/>
      <c r="C81" s="103"/>
      <c r="D81" s="150"/>
      <c r="E81" s="103"/>
      <c r="F81" s="103" t="s">
        <v>83</v>
      </c>
      <c r="G81" s="202"/>
      <c r="H81" s="140" t="s">
        <v>108</v>
      </c>
      <c r="I81" s="139" t="s">
        <v>5</v>
      </c>
      <c r="J81" s="38" t="s">
        <v>105</v>
      </c>
      <c r="K81" s="15"/>
      <c r="L81" s="15"/>
      <c r="M81" s="142">
        <f t="shared" ref="M81:R81" si="42">SUM(M76:M80)</f>
        <v>0</v>
      </c>
      <c r="N81" s="121">
        <f t="shared" si="42"/>
        <v>0</v>
      </c>
      <c r="O81" s="109">
        <f t="shared" si="42"/>
        <v>0</v>
      </c>
      <c r="P81" s="109">
        <f t="shared" si="42"/>
        <v>0</v>
      </c>
      <c r="Q81" s="109">
        <f t="shared" si="42"/>
        <v>0</v>
      </c>
      <c r="R81" s="110">
        <f t="shared" si="42"/>
        <v>0</v>
      </c>
      <c r="S81" s="15"/>
      <c r="T81" s="142">
        <f t="shared" ref="T81:Y81" si="43">SUM(T76:T80)</f>
        <v>0</v>
      </c>
      <c r="U81" s="121">
        <f t="shared" si="43"/>
        <v>0</v>
      </c>
      <c r="V81" s="109">
        <f t="shared" si="43"/>
        <v>0</v>
      </c>
      <c r="W81" s="109">
        <f t="shared" si="43"/>
        <v>0</v>
      </c>
      <c r="X81" s="109">
        <f t="shared" si="43"/>
        <v>0</v>
      </c>
      <c r="Y81" s="110">
        <f t="shared" si="43"/>
        <v>0</v>
      </c>
    </row>
    <row r="82" spans="1:25" ht="13.5" customHeight="1" x14ac:dyDescent="0.15">
      <c r="A82" s="103"/>
      <c r="B82" s="103"/>
      <c r="C82" s="103"/>
      <c r="D82" s="150"/>
      <c r="E82" s="103"/>
      <c r="F82" s="103"/>
      <c r="G82" s="203"/>
      <c r="H82" s="40"/>
      <c r="I82" s="41"/>
      <c r="J82" s="42" t="s">
        <v>92</v>
      </c>
      <c r="K82" s="7">
        <f>L82+S82</f>
        <v>0</v>
      </c>
      <c r="L82" s="7">
        <f>SUM(M82:R82)</f>
        <v>0</v>
      </c>
      <c r="M82" s="13">
        <f t="shared" ref="M82:R82" si="44">SUM(M76:M80)</f>
        <v>0</v>
      </c>
      <c r="N82" s="8">
        <f t="shared" si="44"/>
        <v>0</v>
      </c>
      <c r="O82" s="8">
        <f t="shared" si="44"/>
        <v>0</v>
      </c>
      <c r="P82" s="8">
        <f t="shared" si="44"/>
        <v>0</v>
      </c>
      <c r="Q82" s="8">
        <f t="shared" si="44"/>
        <v>0</v>
      </c>
      <c r="R82" s="9">
        <f t="shared" si="44"/>
        <v>0</v>
      </c>
      <c r="S82" s="7">
        <f>SUM(T82:Y82)</f>
        <v>0</v>
      </c>
      <c r="T82" s="6">
        <f t="shared" ref="T82:Y82" si="45">SUM(T76:T80)</f>
        <v>0</v>
      </c>
      <c r="U82" s="8">
        <f t="shared" si="45"/>
        <v>0</v>
      </c>
      <c r="V82" s="8">
        <f t="shared" si="45"/>
        <v>0</v>
      </c>
      <c r="W82" s="8">
        <f t="shared" si="45"/>
        <v>0</v>
      </c>
      <c r="X82" s="8">
        <f t="shared" si="45"/>
        <v>0</v>
      </c>
      <c r="Y82" s="16">
        <f t="shared" si="45"/>
        <v>0</v>
      </c>
    </row>
    <row r="83" spans="1:25" ht="13.5" customHeight="1" x14ac:dyDescent="0.15">
      <c r="A83" s="103"/>
      <c r="B83" s="103"/>
      <c r="C83" s="103" t="s">
        <v>83</v>
      </c>
      <c r="D83" s="150" t="s">
        <v>84</v>
      </c>
      <c r="E83" s="103" t="s">
        <v>83</v>
      </c>
      <c r="F83" s="103" t="s">
        <v>83</v>
      </c>
      <c r="G83" s="201" t="s">
        <v>97</v>
      </c>
      <c r="H83" s="19">
        <v>821000</v>
      </c>
      <c r="I83" s="24" t="s">
        <v>5</v>
      </c>
      <c r="J83" s="35" t="s">
        <v>66</v>
      </c>
      <c r="K83" s="11">
        <f t="shared" si="39"/>
        <v>0</v>
      </c>
      <c r="L83" s="11">
        <f t="shared" si="40"/>
        <v>0</v>
      </c>
      <c r="M83" s="62"/>
      <c r="N83" s="57"/>
      <c r="O83" s="57"/>
      <c r="P83" s="57"/>
      <c r="Q83" s="57"/>
      <c r="R83" s="58"/>
      <c r="S83" s="11">
        <f t="shared" si="41"/>
        <v>0</v>
      </c>
      <c r="T83" s="52"/>
      <c r="U83" s="57"/>
      <c r="V83" s="57"/>
      <c r="W83" s="57"/>
      <c r="X83" s="57"/>
      <c r="Y83" s="64"/>
    </row>
    <row r="84" spans="1:25" ht="13.5" customHeight="1" x14ac:dyDescent="0.15">
      <c r="A84" s="103"/>
      <c r="B84" s="103"/>
      <c r="C84" s="103" t="s">
        <v>83</v>
      </c>
      <c r="D84" s="150" t="s">
        <v>84</v>
      </c>
      <c r="E84" s="103" t="s">
        <v>83</v>
      </c>
      <c r="F84" s="103" t="s">
        <v>83</v>
      </c>
      <c r="G84" s="202"/>
      <c r="H84" s="20">
        <v>822000</v>
      </c>
      <c r="I84" s="25" t="s">
        <v>81</v>
      </c>
      <c r="J84" s="36" t="s">
        <v>67</v>
      </c>
      <c r="K84" s="4">
        <f t="shared" si="39"/>
        <v>0</v>
      </c>
      <c r="L84" s="4">
        <f t="shared" si="40"/>
        <v>0</v>
      </c>
      <c r="M84" s="47"/>
      <c r="N84" s="48"/>
      <c r="O84" s="48"/>
      <c r="P84" s="48"/>
      <c r="Q84" s="48"/>
      <c r="R84" s="49"/>
      <c r="S84" s="4">
        <f t="shared" si="41"/>
        <v>0</v>
      </c>
      <c r="T84" s="53"/>
      <c r="U84" s="48"/>
      <c r="V84" s="48"/>
      <c r="W84" s="48"/>
      <c r="X84" s="48"/>
      <c r="Y84" s="54"/>
    </row>
    <row r="85" spans="1:25" ht="13.5" customHeight="1" x14ac:dyDescent="0.15">
      <c r="A85" s="103"/>
      <c r="B85" s="103"/>
      <c r="C85" s="103" t="s">
        <v>83</v>
      </c>
      <c r="D85" s="150" t="s">
        <v>84</v>
      </c>
      <c r="E85" s="103" t="s">
        <v>83</v>
      </c>
      <c r="F85" s="103" t="s">
        <v>83</v>
      </c>
      <c r="G85" s="202"/>
      <c r="H85" s="20">
        <v>823000</v>
      </c>
      <c r="I85" s="25" t="s">
        <v>26</v>
      </c>
      <c r="J85" s="36" t="s">
        <v>68</v>
      </c>
      <c r="K85" s="4">
        <f t="shared" si="39"/>
        <v>0</v>
      </c>
      <c r="L85" s="4">
        <f t="shared" si="40"/>
        <v>0</v>
      </c>
      <c r="M85" s="47"/>
      <c r="N85" s="48"/>
      <c r="O85" s="48"/>
      <c r="P85" s="48"/>
      <c r="Q85" s="48"/>
      <c r="R85" s="58"/>
      <c r="S85" s="4">
        <f t="shared" si="41"/>
        <v>0</v>
      </c>
      <c r="T85" s="53"/>
      <c r="U85" s="57"/>
      <c r="V85" s="57"/>
      <c r="W85" s="57"/>
      <c r="X85" s="57"/>
      <c r="Y85" s="64"/>
    </row>
    <row r="86" spans="1:25" ht="13.5" customHeight="1" x14ac:dyDescent="0.15">
      <c r="A86" s="103"/>
      <c r="B86" s="103"/>
      <c r="C86" s="103" t="s">
        <v>83</v>
      </c>
      <c r="D86" s="150" t="s">
        <v>84</v>
      </c>
      <c r="E86" s="103" t="s">
        <v>83</v>
      </c>
      <c r="F86" s="103" t="s">
        <v>83</v>
      </c>
      <c r="G86" s="202"/>
      <c r="H86" s="21">
        <v>825000</v>
      </c>
      <c r="I86" s="26" t="s">
        <v>10</v>
      </c>
      <c r="J86" s="37" t="s">
        <v>69</v>
      </c>
      <c r="K86" s="5">
        <f t="shared" si="39"/>
        <v>0</v>
      </c>
      <c r="L86" s="5">
        <f t="shared" si="40"/>
        <v>0</v>
      </c>
      <c r="M86" s="47"/>
      <c r="N86" s="51"/>
      <c r="O86" s="51"/>
      <c r="P86" s="51"/>
      <c r="Q86" s="51"/>
      <c r="R86" s="49"/>
      <c r="S86" s="5">
        <f t="shared" si="41"/>
        <v>0</v>
      </c>
      <c r="T86" s="53"/>
      <c r="U86" s="48"/>
      <c r="V86" s="48"/>
      <c r="W86" s="48"/>
      <c r="X86" s="48"/>
      <c r="Y86" s="54"/>
    </row>
    <row r="87" spans="1:25" ht="13.5" customHeight="1" x14ac:dyDescent="0.15">
      <c r="A87" s="103"/>
      <c r="B87" s="103"/>
      <c r="C87" s="103" t="s">
        <v>83</v>
      </c>
      <c r="D87" s="150" t="s">
        <v>84</v>
      </c>
      <c r="E87" s="103" t="s">
        <v>83</v>
      </c>
      <c r="F87" s="103" t="s">
        <v>83</v>
      </c>
      <c r="G87" s="202"/>
      <c r="H87" s="20" t="s">
        <v>82</v>
      </c>
      <c r="I87" s="25" t="s">
        <v>26</v>
      </c>
      <c r="J87" s="36" t="s">
        <v>70</v>
      </c>
      <c r="K87" s="4">
        <f t="shared" si="39"/>
        <v>0</v>
      </c>
      <c r="L87" s="4">
        <f t="shared" si="40"/>
        <v>0</v>
      </c>
      <c r="M87" s="47"/>
      <c r="N87" s="48"/>
      <c r="O87" s="48"/>
      <c r="P87" s="48"/>
      <c r="Q87" s="48"/>
      <c r="R87" s="58"/>
      <c r="S87" s="4">
        <f t="shared" si="41"/>
        <v>0</v>
      </c>
      <c r="T87" s="53"/>
      <c r="U87" s="57"/>
      <c r="V87" s="57"/>
      <c r="W87" s="57"/>
      <c r="X87" s="57"/>
      <c r="Y87" s="64"/>
    </row>
    <row r="88" spans="1:25" ht="13.5" customHeight="1" x14ac:dyDescent="0.15">
      <c r="A88" s="103"/>
      <c r="B88" s="103"/>
      <c r="C88" s="103"/>
      <c r="D88" s="150" t="s">
        <v>84</v>
      </c>
      <c r="E88" s="103" t="s">
        <v>83</v>
      </c>
      <c r="F88" s="103"/>
      <c r="G88" s="202"/>
      <c r="H88" s="22">
        <v>828000</v>
      </c>
      <c r="I88" s="27" t="s">
        <v>10</v>
      </c>
      <c r="J88" s="38" t="s">
        <v>71</v>
      </c>
      <c r="K88" s="10">
        <f t="shared" si="39"/>
        <v>0</v>
      </c>
      <c r="L88" s="5">
        <f t="shared" si="40"/>
        <v>0</v>
      </c>
      <c r="M88" s="153"/>
      <c r="N88" s="154"/>
      <c r="O88" s="154"/>
      <c r="P88" s="154"/>
      <c r="Q88" s="154"/>
      <c r="R88" s="155"/>
      <c r="S88" s="10">
        <f t="shared" si="41"/>
        <v>0</v>
      </c>
      <c r="T88" s="156"/>
      <c r="U88" s="154"/>
      <c r="V88" s="154"/>
      <c r="W88" s="154"/>
      <c r="X88" s="154"/>
      <c r="Y88" s="157"/>
    </row>
    <row r="89" spans="1:25" ht="13.5" hidden="1" customHeight="1" x14ac:dyDescent="0.15">
      <c r="A89" s="141"/>
      <c r="B89" s="141"/>
      <c r="C89" s="141"/>
      <c r="D89" s="151"/>
      <c r="E89" s="141"/>
      <c r="F89" s="103" t="s">
        <v>83</v>
      </c>
      <c r="G89" s="202"/>
      <c r="H89" s="140" t="s">
        <v>107</v>
      </c>
      <c r="I89" s="139" t="s">
        <v>5</v>
      </c>
      <c r="J89" s="38" t="s">
        <v>109</v>
      </c>
      <c r="K89" s="15"/>
      <c r="L89" s="15"/>
      <c r="M89" s="142">
        <f t="shared" ref="M89:R89" si="46">SUM(M83:M88)</f>
        <v>0</v>
      </c>
      <c r="N89" s="109">
        <f t="shared" si="46"/>
        <v>0</v>
      </c>
      <c r="O89" s="109">
        <f t="shared" si="46"/>
        <v>0</v>
      </c>
      <c r="P89" s="109">
        <f t="shared" si="46"/>
        <v>0</v>
      </c>
      <c r="Q89" s="109">
        <f t="shared" si="46"/>
        <v>0</v>
      </c>
      <c r="R89" s="110">
        <f t="shared" si="46"/>
        <v>0</v>
      </c>
      <c r="S89" s="15"/>
      <c r="T89" s="142">
        <f t="shared" ref="T89:Y89" si="47">SUM(T83:T88)</f>
        <v>0</v>
      </c>
      <c r="U89" s="109">
        <f t="shared" si="47"/>
        <v>0</v>
      </c>
      <c r="V89" s="109">
        <f t="shared" si="47"/>
        <v>0</v>
      </c>
      <c r="W89" s="109">
        <f t="shared" si="47"/>
        <v>0</v>
      </c>
      <c r="X89" s="109">
        <f t="shared" si="47"/>
        <v>0</v>
      </c>
      <c r="Y89" s="110">
        <f t="shared" si="47"/>
        <v>0</v>
      </c>
    </row>
    <row r="90" spans="1:25" ht="13.5" customHeight="1" x14ac:dyDescent="0.15">
      <c r="A90" s="105"/>
      <c r="B90" s="105"/>
      <c r="C90" s="105"/>
      <c r="D90" s="152"/>
      <c r="E90" s="105"/>
      <c r="F90" s="106"/>
      <c r="G90" s="203"/>
      <c r="H90" s="40"/>
      <c r="I90" s="41"/>
      <c r="J90" s="42" t="s">
        <v>92</v>
      </c>
      <c r="K90" s="7">
        <f>L90+S90</f>
        <v>0</v>
      </c>
      <c r="L90" s="7">
        <f>SUM(M90:R90)</f>
        <v>0</v>
      </c>
      <c r="M90" s="13">
        <f t="shared" ref="M90:R90" si="48">SUM(M83:M88)</f>
        <v>0</v>
      </c>
      <c r="N90" s="8">
        <f t="shared" si="48"/>
        <v>0</v>
      </c>
      <c r="O90" s="8">
        <f t="shared" si="48"/>
        <v>0</v>
      </c>
      <c r="P90" s="8">
        <f t="shared" si="48"/>
        <v>0</v>
      </c>
      <c r="Q90" s="8">
        <f t="shared" si="48"/>
        <v>0</v>
      </c>
      <c r="R90" s="9">
        <f t="shared" si="48"/>
        <v>0</v>
      </c>
      <c r="S90" s="7">
        <f>SUM(T90:Y90)</f>
        <v>0</v>
      </c>
      <c r="T90" s="6">
        <f t="shared" ref="T90:Y90" si="49">SUM(T83:T88)</f>
        <v>0</v>
      </c>
      <c r="U90" s="8">
        <f t="shared" si="49"/>
        <v>0</v>
      </c>
      <c r="V90" s="8">
        <f t="shared" si="49"/>
        <v>0</v>
      </c>
      <c r="W90" s="8">
        <f t="shared" si="49"/>
        <v>0</v>
      </c>
      <c r="X90" s="8">
        <f t="shared" si="49"/>
        <v>0</v>
      </c>
      <c r="Y90" s="16">
        <f t="shared" si="49"/>
        <v>0</v>
      </c>
    </row>
    <row r="91" spans="1:25" hidden="1" x14ac:dyDescent="0.15">
      <c r="A91" s="105"/>
      <c r="B91" s="105"/>
      <c r="C91" s="105"/>
      <c r="D91" s="105"/>
      <c r="E91" s="105"/>
      <c r="F91" s="106" t="s">
        <v>84</v>
      </c>
      <c r="G91" s="137"/>
      <c r="H91" s="140" t="s">
        <v>106</v>
      </c>
      <c r="I91" s="139" t="s">
        <v>5</v>
      </c>
      <c r="J91" s="38" t="s">
        <v>105</v>
      </c>
      <c r="K91" s="138"/>
      <c r="L91" s="138"/>
      <c r="M91" s="90">
        <f t="shared" ref="M91:R91" si="50">M82-M90</f>
        <v>0</v>
      </c>
      <c r="N91" s="93">
        <f t="shared" si="50"/>
        <v>0</v>
      </c>
      <c r="O91" s="93">
        <f t="shared" si="50"/>
        <v>0</v>
      </c>
      <c r="P91" s="93">
        <f t="shared" si="50"/>
        <v>0</v>
      </c>
      <c r="Q91" s="93">
        <f t="shared" si="50"/>
        <v>0</v>
      </c>
      <c r="R91" s="96">
        <f t="shared" si="50"/>
        <v>0</v>
      </c>
      <c r="S91" s="138"/>
      <c r="T91" s="90">
        <f t="shared" ref="T91:Y91" si="51">T82-T90</f>
        <v>0</v>
      </c>
      <c r="U91" s="93">
        <f t="shared" si="51"/>
        <v>0</v>
      </c>
      <c r="V91" s="93">
        <f t="shared" si="51"/>
        <v>0</v>
      </c>
      <c r="W91" s="93">
        <f t="shared" si="51"/>
        <v>0</v>
      </c>
      <c r="X91" s="93">
        <f t="shared" si="51"/>
        <v>0</v>
      </c>
      <c r="Y91" s="96">
        <f t="shared" si="51"/>
        <v>0</v>
      </c>
    </row>
    <row r="92" spans="1:25" x14ac:dyDescent="0.15">
      <c r="A92" s="39"/>
      <c r="H92" s="136"/>
      <c r="I92" s="136"/>
      <c r="J92" s="136"/>
    </row>
  </sheetData>
  <sheetProtection sheet="1" objects="1" scenarios="1"/>
  <mergeCells count="10">
    <mergeCell ref="I2:J2"/>
    <mergeCell ref="G2:H2"/>
    <mergeCell ref="M2:Q2"/>
    <mergeCell ref="G4:H4"/>
    <mergeCell ref="G83:G90"/>
    <mergeCell ref="G76:G82"/>
    <mergeCell ref="G28:G47"/>
    <mergeCell ref="G5:G27"/>
    <mergeCell ref="G48:G60"/>
    <mergeCell ref="G65:G69"/>
  </mergeCells>
  <phoneticPr fontId="3"/>
  <dataValidations count="1">
    <dataValidation type="whole" allowBlank="1" showInputMessage="1" showErrorMessage="1" sqref="T62:Y62 U73:Y74 T68:Y68 T70:Y70 T89:Y89 M28:R46 M73:R74 M62:R62 T28:Y46 M76:R81 U83:Y88 T81:Y81 U69:Y69 M83:R89 U76:Y80 T15:Y16 T18:Y20 M15:R16 M18:R20 M6:R13 T6:Y13 T49:Y58 M60:R60 U60:Y60 M68:R70 M49:R58 T22:Y26 M22:R26">
      <formula1>-99999999999</formula1>
      <formula2>99999999999</formula2>
    </dataValidation>
  </dataValidations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3.5" x14ac:dyDescent="0.15"/>
  <cols>
    <col min="1" max="1" width="13.75" style="179" bestFit="1" customWidth="1"/>
    <col min="2" max="2" width="25.25" style="179" bestFit="1" customWidth="1"/>
    <col min="3" max="16384" width="9" style="179"/>
  </cols>
  <sheetData>
    <row r="1" spans="1:2" x14ac:dyDescent="0.15">
      <c r="A1" s="179" t="s">
        <v>148</v>
      </c>
      <c r="B1" s="181"/>
    </row>
    <row r="2" spans="1:2" x14ac:dyDescent="0.15">
      <c r="A2" s="179" t="s">
        <v>147</v>
      </c>
      <c r="B2" s="180">
        <v>1</v>
      </c>
    </row>
    <row r="3" spans="1:2" x14ac:dyDescent="0.15">
      <c r="A3" s="179" t="s">
        <v>146</v>
      </c>
      <c r="B3" s="179" t="s">
        <v>149</v>
      </c>
    </row>
    <row r="4" spans="1:2" x14ac:dyDescent="0.15">
      <c r="A4" s="179" t="s">
        <v>150</v>
      </c>
    </row>
    <row r="5" spans="1:2" x14ac:dyDescent="0.15">
      <c r="A5" s="179" t="s">
        <v>145</v>
      </c>
      <c r="B5" s="182"/>
    </row>
    <row r="6" spans="1:2" x14ac:dyDescent="0.15">
      <c r="A6" s="179" t="s">
        <v>143</v>
      </c>
      <c r="B6" s="182"/>
    </row>
    <row r="7" spans="1:2" x14ac:dyDescent="0.15">
      <c r="A7" s="179" t="s">
        <v>144</v>
      </c>
      <c r="B7" s="182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部門別経費予算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本山敦士</cp:lastModifiedBy>
  <cp:revision/>
  <dcterms:created xsi:type="dcterms:W3CDTF">2008-07-08T15:15:00Z</dcterms:created>
  <dcterms:modified xsi:type="dcterms:W3CDTF">2026-06-15T01:09:23Z</dcterms:modified>
  <cp:category/>
</cp:coreProperties>
</file>