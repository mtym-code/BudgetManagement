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900017\Documents\03_予算管理バージョンアップ\Excelフォーマット\"/>
    </mc:Choice>
  </mc:AlternateContent>
  <bookViews>
    <workbookView xWindow="0" yWindow="0" windowWidth="20490" windowHeight="8355"/>
  </bookViews>
  <sheets>
    <sheet name="部門別経費予算" sheetId="4" r:id="rId1"/>
    <sheet name="Settings" sheetId="5" r:id="rId2"/>
  </sheets>
  <calcPr calcId="162913"/>
</workbook>
</file>

<file path=xl/calcChain.xml><?xml version="1.0" encoding="utf-8"?>
<calcChain xmlns="http://schemas.openxmlformats.org/spreadsheetml/2006/main">
  <c r="S24" i="4" l="1"/>
  <c r="L24" i="4"/>
  <c r="S61" i="4"/>
  <c r="L61" i="4"/>
  <c r="K61" i="4" s="1"/>
  <c r="K24" i="4" l="1"/>
  <c r="M6" i="4"/>
  <c r="N6" i="4"/>
  <c r="O6" i="4"/>
  <c r="P6" i="4"/>
  <c r="Q6" i="4"/>
  <c r="R6" i="4"/>
  <c r="T6" i="4"/>
  <c r="U6" i="4"/>
  <c r="V6" i="4"/>
  <c r="W6" i="4"/>
  <c r="X6" i="4"/>
  <c r="Y6" i="4"/>
  <c r="L7" i="4"/>
  <c r="S7" i="4"/>
  <c r="L8" i="4"/>
  <c r="S8" i="4"/>
  <c r="L9" i="4"/>
  <c r="S9" i="4"/>
  <c r="L10" i="4"/>
  <c r="S10" i="4"/>
  <c r="L11" i="4"/>
  <c r="S11" i="4"/>
  <c r="L12" i="4"/>
  <c r="S12" i="4"/>
  <c r="L13" i="4"/>
  <c r="S13" i="4"/>
  <c r="L14" i="4"/>
  <c r="S14" i="4"/>
  <c r="M15" i="4"/>
  <c r="N15" i="4"/>
  <c r="O15" i="4"/>
  <c r="P15" i="4"/>
  <c r="Q15" i="4"/>
  <c r="R15" i="4"/>
  <c r="T15" i="4"/>
  <c r="U15" i="4"/>
  <c r="V15" i="4"/>
  <c r="W15" i="4"/>
  <c r="X15" i="4"/>
  <c r="Y15" i="4"/>
  <c r="L16" i="4"/>
  <c r="S16" i="4"/>
  <c r="L17" i="4"/>
  <c r="S17" i="4"/>
  <c r="M18" i="4"/>
  <c r="N18" i="4"/>
  <c r="O18" i="4"/>
  <c r="P18" i="4"/>
  <c r="Q18" i="4"/>
  <c r="R18" i="4"/>
  <c r="T18" i="4"/>
  <c r="U18" i="4"/>
  <c r="V18" i="4"/>
  <c r="W18" i="4"/>
  <c r="X18" i="4"/>
  <c r="Y18" i="4"/>
  <c r="L19" i="4"/>
  <c r="S19" i="4"/>
  <c r="L20" i="4"/>
  <c r="S20" i="4"/>
  <c r="L21" i="4"/>
  <c r="S21" i="4"/>
  <c r="M22" i="4"/>
  <c r="N22" i="4"/>
  <c r="O22" i="4"/>
  <c r="P22" i="4"/>
  <c r="Q22" i="4"/>
  <c r="R22" i="4"/>
  <c r="T22" i="4"/>
  <c r="U22" i="4"/>
  <c r="V22" i="4"/>
  <c r="W22" i="4"/>
  <c r="X22" i="4"/>
  <c r="Y22" i="4"/>
  <c r="L23" i="4"/>
  <c r="S23" i="4"/>
  <c r="L25" i="4"/>
  <c r="S25" i="4"/>
  <c r="L26" i="4"/>
  <c r="S26" i="4"/>
  <c r="L29" i="4"/>
  <c r="S29" i="4"/>
  <c r="L30" i="4"/>
  <c r="S30" i="4"/>
  <c r="L31" i="4"/>
  <c r="S31" i="4"/>
  <c r="L32" i="4"/>
  <c r="S32" i="4"/>
  <c r="L33" i="4"/>
  <c r="S33" i="4"/>
  <c r="L34" i="4"/>
  <c r="S34" i="4"/>
  <c r="L35" i="4"/>
  <c r="S35" i="4"/>
  <c r="L36" i="4"/>
  <c r="S36" i="4"/>
  <c r="L37" i="4"/>
  <c r="S37" i="4"/>
  <c r="L38" i="4"/>
  <c r="S38" i="4"/>
  <c r="L39" i="4"/>
  <c r="S39" i="4"/>
  <c r="L40" i="4"/>
  <c r="S40" i="4"/>
  <c r="L41" i="4"/>
  <c r="S41" i="4"/>
  <c r="L42" i="4"/>
  <c r="S42" i="4"/>
  <c r="L43" i="4"/>
  <c r="S43" i="4"/>
  <c r="L44" i="4"/>
  <c r="S44" i="4"/>
  <c r="L45" i="4"/>
  <c r="S45" i="4"/>
  <c r="L46" i="4"/>
  <c r="S46" i="4"/>
  <c r="M47" i="4"/>
  <c r="N47" i="4"/>
  <c r="O47" i="4"/>
  <c r="P47" i="4"/>
  <c r="Q47" i="4"/>
  <c r="R47" i="4"/>
  <c r="T47" i="4"/>
  <c r="U47" i="4"/>
  <c r="V47" i="4"/>
  <c r="W47" i="4"/>
  <c r="X47" i="4"/>
  <c r="Y47" i="4"/>
  <c r="M48" i="4"/>
  <c r="N48" i="4"/>
  <c r="O48" i="4"/>
  <c r="P48" i="4"/>
  <c r="Q48" i="4"/>
  <c r="R48" i="4"/>
  <c r="T48" i="4"/>
  <c r="U48" i="4"/>
  <c r="V48" i="4"/>
  <c r="W48" i="4"/>
  <c r="X48" i="4"/>
  <c r="Y48" i="4"/>
  <c r="M49" i="4"/>
  <c r="N49" i="4"/>
  <c r="O49" i="4"/>
  <c r="P49" i="4"/>
  <c r="Q49" i="4"/>
  <c r="R49" i="4"/>
  <c r="T49" i="4"/>
  <c r="U49" i="4"/>
  <c r="V49" i="4"/>
  <c r="W49" i="4"/>
  <c r="X49" i="4"/>
  <c r="Y49" i="4"/>
  <c r="L50" i="4"/>
  <c r="S50" i="4"/>
  <c r="L51" i="4"/>
  <c r="S51" i="4"/>
  <c r="L52" i="4"/>
  <c r="S52" i="4"/>
  <c r="L53" i="4"/>
  <c r="S53" i="4"/>
  <c r="L54" i="4"/>
  <c r="S54" i="4"/>
  <c r="L55" i="4"/>
  <c r="S55" i="4"/>
  <c r="L56" i="4"/>
  <c r="S56" i="4"/>
  <c r="L57" i="4"/>
  <c r="S57" i="4"/>
  <c r="L58" i="4"/>
  <c r="S58" i="4"/>
  <c r="M59" i="4"/>
  <c r="N59" i="4"/>
  <c r="O59" i="4"/>
  <c r="P59" i="4"/>
  <c r="Q59" i="4"/>
  <c r="R59" i="4"/>
  <c r="T59" i="4"/>
  <c r="U59" i="4"/>
  <c r="V59" i="4"/>
  <c r="W59" i="4"/>
  <c r="X59" i="4"/>
  <c r="Y59" i="4"/>
  <c r="M60" i="4"/>
  <c r="N60" i="4"/>
  <c r="O60" i="4"/>
  <c r="P60" i="4"/>
  <c r="Q60" i="4"/>
  <c r="R60" i="4"/>
  <c r="T60" i="4"/>
  <c r="U60" i="4"/>
  <c r="V60" i="4"/>
  <c r="W60" i="4"/>
  <c r="X60" i="4"/>
  <c r="Y60" i="4"/>
  <c r="L63" i="4"/>
  <c r="S63" i="4"/>
  <c r="L66" i="4"/>
  <c r="S66" i="4"/>
  <c r="L67" i="4"/>
  <c r="S67" i="4"/>
  <c r="L68" i="4"/>
  <c r="S68" i="4"/>
  <c r="L69" i="4"/>
  <c r="S69" i="4"/>
  <c r="N71" i="4"/>
  <c r="O71" i="4"/>
  <c r="P71" i="4"/>
  <c r="Q71" i="4"/>
  <c r="R71" i="4"/>
  <c r="T71" i="4"/>
  <c r="X71" i="4"/>
  <c r="Y71" i="4"/>
  <c r="L70" i="4"/>
  <c r="S70" i="4"/>
  <c r="M71" i="4"/>
  <c r="U71" i="4"/>
  <c r="V71" i="4"/>
  <c r="W71" i="4"/>
  <c r="L74" i="4"/>
  <c r="S74" i="4"/>
  <c r="L75" i="4"/>
  <c r="S75" i="4"/>
  <c r="L77" i="4"/>
  <c r="S77" i="4"/>
  <c r="L78" i="4"/>
  <c r="S78" i="4"/>
  <c r="L79" i="4"/>
  <c r="S79" i="4"/>
  <c r="L80" i="4"/>
  <c r="S80" i="4"/>
  <c r="L81" i="4"/>
  <c r="S81" i="4"/>
  <c r="M82" i="4"/>
  <c r="N82" i="4"/>
  <c r="O82" i="4"/>
  <c r="P82" i="4"/>
  <c r="Q82" i="4"/>
  <c r="R82" i="4"/>
  <c r="T82" i="4"/>
  <c r="U82" i="4"/>
  <c r="V82" i="4"/>
  <c r="W82" i="4"/>
  <c r="X82" i="4"/>
  <c r="Y82" i="4"/>
  <c r="M83" i="4"/>
  <c r="N83" i="4"/>
  <c r="O83" i="4"/>
  <c r="P83" i="4"/>
  <c r="Q83" i="4"/>
  <c r="R83" i="4"/>
  <c r="T83" i="4"/>
  <c r="U83" i="4"/>
  <c r="V83" i="4"/>
  <c r="W83" i="4"/>
  <c r="X83" i="4"/>
  <c r="X92" i="4" s="1"/>
  <c r="Y83" i="4"/>
  <c r="L84" i="4"/>
  <c r="S84" i="4"/>
  <c r="L85" i="4"/>
  <c r="S85" i="4"/>
  <c r="L86" i="4"/>
  <c r="S86" i="4"/>
  <c r="L87" i="4"/>
  <c r="S87" i="4"/>
  <c r="L88" i="4"/>
  <c r="S88" i="4"/>
  <c r="L89" i="4"/>
  <c r="S89" i="4"/>
  <c r="M90" i="4"/>
  <c r="N90" i="4"/>
  <c r="O90" i="4"/>
  <c r="P90" i="4"/>
  <c r="Q90" i="4"/>
  <c r="R90" i="4"/>
  <c r="T90" i="4"/>
  <c r="U90" i="4"/>
  <c r="V90" i="4"/>
  <c r="W90" i="4"/>
  <c r="X90" i="4"/>
  <c r="Y90" i="4"/>
  <c r="M91" i="4"/>
  <c r="N91" i="4"/>
  <c r="O91" i="4"/>
  <c r="P91" i="4"/>
  <c r="Q91" i="4"/>
  <c r="R91" i="4"/>
  <c r="T91" i="4"/>
  <c r="U91" i="4"/>
  <c r="V91" i="4"/>
  <c r="W91" i="4"/>
  <c r="X91" i="4"/>
  <c r="Y91" i="4"/>
  <c r="V28" i="4" l="1"/>
  <c r="V62" i="4" s="1"/>
  <c r="V65" i="4" s="1"/>
  <c r="V72" i="4" s="1"/>
  <c r="R92" i="4"/>
  <c r="K21" i="4"/>
  <c r="K11" i="4"/>
  <c r="K78" i="4"/>
  <c r="K7" i="4"/>
  <c r="K19" i="4"/>
  <c r="K13" i="4"/>
  <c r="X27" i="4"/>
  <c r="K66" i="4"/>
  <c r="R27" i="4"/>
  <c r="R28" i="4"/>
  <c r="R62" i="4" s="1"/>
  <c r="R64" i="4" s="1"/>
  <c r="K9" i="4"/>
  <c r="Q92" i="4"/>
  <c r="V92" i="4"/>
  <c r="W27" i="4"/>
  <c r="S91" i="4"/>
  <c r="Y92" i="4"/>
  <c r="P92" i="4"/>
  <c r="K81" i="4"/>
  <c r="K77" i="4"/>
  <c r="K14" i="4"/>
  <c r="K86" i="4"/>
  <c r="W92" i="4"/>
  <c r="N92" i="4"/>
  <c r="K70" i="4"/>
  <c r="K63" i="4"/>
  <c r="K56" i="4"/>
  <c r="K52" i="4"/>
  <c r="K43" i="4"/>
  <c r="K39" i="4"/>
  <c r="K35" i="4"/>
  <c r="N27" i="4"/>
  <c r="P27" i="4"/>
  <c r="K79" i="4"/>
  <c r="K67" i="4"/>
  <c r="U27" i="4"/>
  <c r="K17" i="4"/>
  <c r="K88" i="4"/>
  <c r="K84" i="4"/>
  <c r="L6" i="4"/>
  <c r="K46" i="4"/>
  <c r="K31" i="4"/>
  <c r="K26" i="4"/>
  <c r="K51" i="4"/>
  <c r="K30" i="4"/>
  <c r="K12" i="4"/>
  <c r="K34" i="4"/>
  <c r="K23" i="4"/>
  <c r="K55" i="4"/>
  <c r="K38" i="4"/>
  <c r="K10" i="4"/>
  <c r="K42" i="4"/>
  <c r="U92" i="4"/>
  <c r="Y28" i="4"/>
  <c r="Y62" i="4" s="1"/>
  <c r="K8" i="4"/>
  <c r="W28" i="4"/>
  <c r="W62" i="4" s="1"/>
  <c r="V27" i="4"/>
  <c r="U28" i="4"/>
  <c r="U62" i="4" s="1"/>
  <c r="L18" i="4"/>
  <c r="K80" i="4"/>
  <c r="L49" i="4"/>
  <c r="Y27" i="4"/>
  <c r="O92" i="4"/>
  <c r="K89" i="4"/>
  <c r="K85" i="4"/>
  <c r="S83" i="4"/>
  <c r="K20" i="4"/>
  <c r="K87" i="4"/>
  <c r="K68" i="4"/>
  <c r="K53" i="4"/>
  <c r="K44" i="4"/>
  <c r="K25" i="4"/>
  <c r="P28" i="4"/>
  <c r="P62" i="4" s="1"/>
  <c r="P65" i="4" s="1"/>
  <c r="P72" i="4" s="1"/>
  <c r="S60" i="4"/>
  <c r="L83" i="4"/>
  <c r="K57" i="4"/>
  <c r="K40" i="4"/>
  <c r="K36" i="4"/>
  <c r="K32" i="4"/>
  <c r="K75" i="4"/>
  <c r="N28" i="4"/>
  <c r="N62" i="4" s="1"/>
  <c r="N65" i="4" s="1"/>
  <c r="N72" i="4" s="1"/>
  <c r="L91" i="4"/>
  <c r="K69" i="4"/>
  <c r="K58" i="4"/>
  <c r="K54" i="4"/>
  <c r="K50" i="4"/>
  <c r="K45" i="4"/>
  <c r="K41" i="4"/>
  <c r="K37" i="4"/>
  <c r="K33" i="4"/>
  <c r="K29" i="4"/>
  <c r="K16" i="4"/>
  <c r="S48" i="4"/>
  <c r="L60" i="4"/>
  <c r="S49" i="4"/>
  <c r="L48" i="4"/>
  <c r="L22" i="4"/>
  <c r="S18" i="4"/>
  <c r="T27" i="4"/>
  <c r="S6" i="4"/>
  <c r="T92" i="4"/>
  <c r="M92" i="4"/>
  <c r="K74" i="4"/>
  <c r="X28" i="4"/>
  <c r="X62" i="4" s="1"/>
  <c r="T28" i="4"/>
  <c r="S22" i="4"/>
  <c r="S15" i="4"/>
  <c r="Q27" i="4"/>
  <c r="Q28" i="4"/>
  <c r="Q62" i="4" s="1"/>
  <c r="O27" i="4"/>
  <c r="O28" i="4"/>
  <c r="O62" i="4" s="1"/>
  <c r="L15" i="4"/>
  <c r="M27" i="4"/>
  <c r="M28" i="4"/>
  <c r="M62" i="4" s="1"/>
  <c r="K48" i="4" l="1"/>
  <c r="K91" i="4"/>
  <c r="V64" i="4"/>
  <c r="K18" i="4"/>
  <c r="P64" i="4"/>
  <c r="K49" i="4"/>
  <c r="R65" i="4"/>
  <c r="R72" i="4" s="1"/>
  <c r="K6" i="4"/>
  <c r="N64" i="4"/>
  <c r="K83" i="4"/>
  <c r="O64" i="4"/>
  <c r="O65" i="4"/>
  <c r="O72" i="4" s="1"/>
  <c r="X65" i="4"/>
  <c r="X72" i="4" s="1"/>
  <c r="X64" i="4"/>
  <c r="K22" i="4"/>
  <c r="Q64" i="4"/>
  <c r="Q65" i="4"/>
  <c r="Q72" i="4" s="1"/>
  <c r="W64" i="4"/>
  <c r="W65" i="4"/>
  <c r="W72" i="4" s="1"/>
  <c r="L28" i="4"/>
  <c r="K15" i="4"/>
  <c r="U64" i="4"/>
  <c r="U65" i="4"/>
  <c r="U72" i="4" s="1"/>
  <c r="Y64" i="4"/>
  <c r="Y65" i="4"/>
  <c r="Y72" i="4" s="1"/>
  <c r="S28" i="4"/>
  <c r="T62" i="4"/>
  <c r="K60" i="4"/>
  <c r="K28" i="4" l="1"/>
  <c r="S62" i="4"/>
  <c r="S64" i="4" s="1"/>
  <c r="T65" i="4"/>
  <c r="T72" i="4" s="1"/>
  <c r="T64" i="4"/>
  <c r="M64" i="4"/>
  <c r="L62" i="4"/>
  <c r="M65" i="4"/>
  <c r="M72" i="4" s="1"/>
  <c r="K62" i="4" l="1"/>
  <c r="K64" i="4" s="1"/>
  <c r="L64" i="4"/>
  <c r="L65" i="4"/>
  <c r="L72" i="4"/>
  <c r="S72" i="4"/>
  <c r="S65" i="4"/>
  <c r="K65" i="4" l="1"/>
  <c r="K72" i="4"/>
</calcChain>
</file>

<file path=xl/sharedStrings.xml><?xml version="1.0" encoding="utf-8"?>
<sst xmlns="http://schemas.openxmlformats.org/spreadsheetml/2006/main" count="507" uniqueCount="154">
  <si>
    <t>科目ｺｰﾄﾞ</t>
    <rPh sb="0" eb="2">
      <t>カモク</t>
    </rPh>
    <phoneticPr fontId="3"/>
  </si>
  <si>
    <t>細</t>
    <rPh sb="0" eb="1">
      <t>ホソ</t>
    </rPh>
    <phoneticPr fontId="3"/>
  </si>
  <si>
    <t>科    目   名</t>
    <rPh sb="0" eb="6">
      <t>カモク</t>
    </rPh>
    <rPh sb="9" eb="10">
      <t>ナ</t>
    </rPh>
    <phoneticPr fontId="3"/>
  </si>
  <si>
    <t>上 期 計</t>
    <rPh sb="0" eb="3">
      <t>カミキ</t>
    </rPh>
    <rPh sb="4" eb="5">
      <t>ケイ</t>
    </rPh>
    <phoneticPr fontId="3"/>
  </si>
  <si>
    <t>下 期 計</t>
    <rPh sb="0" eb="3">
      <t>シモキ</t>
    </rPh>
    <rPh sb="4" eb="5">
      <t>ケイ</t>
    </rPh>
    <phoneticPr fontId="3"/>
  </si>
  <si>
    <t>00</t>
    <phoneticPr fontId="5"/>
  </si>
  <si>
    <t>01</t>
    <phoneticPr fontId="5"/>
  </si>
  <si>
    <t>（ 基 準 内 ）</t>
    <rPh sb="2" eb="5">
      <t>キジュン</t>
    </rPh>
    <rPh sb="6" eb="7">
      <t>ナイ</t>
    </rPh>
    <phoneticPr fontId="3"/>
  </si>
  <si>
    <t>02</t>
    <phoneticPr fontId="5"/>
  </si>
  <si>
    <t>( 基 準 外 )</t>
    <rPh sb="2" eb="5">
      <t>キジュン</t>
    </rPh>
    <rPh sb="6" eb="7">
      <t>ガイ</t>
    </rPh>
    <phoneticPr fontId="5"/>
  </si>
  <si>
    <t>00</t>
    <phoneticPr fontId="5"/>
  </si>
  <si>
    <t>賞            与</t>
    <phoneticPr fontId="3"/>
  </si>
  <si>
    <t>Ｆ　Ａ　給　料</t>
    <rPh sb="4" eb="5">
      <t>キュウ</t>
    </rPh>
    <rPh sb="6" eb="7">
      <t>リョウ</t>
    </rPh>
    <phoneticPr fontId="3"/>
  </si>
  <si>
    <t>雑            給</t>
    <phoneticPr fontId="3"/>
  </si>
  <si>
    <t xml:space="preserve"> 退    職     金 </t>
    <phoneticPr fontId="3"/>
  </si>
  <si>
    <t>法 定 福 利 費</t>
    <phoneticPr fontId="3"/>
  </si>
  <si>
    <t>00</t>
    <phoneticPr fontId="5"/>
  </si>
  <si>
    <t>賄             費</t>
    <phoneticPr fontId="3"/>
  </si>
  <si>
    <t>社  宅   経  費</t>
    <rPh sb="0" eb="4">
      <t>シャタク</t>
    </rPh>
    <phoneticPr fontId="3"/>
  </si>
  <si>
    <t>公  租   公  課</t>
    <phoneticPr fontId="3"/>
  </si>
  <si>
    <t>通     信      費</t>
    <phoneticPr fontId="3"/>
  </si>
  <si>
    <t>家              賃</t>
    <phoneticPr fontId="3"/>
  </si>
  <si>
    <t>賃      借     料</t>
    <phoneticPr fontId="3"/>
  </si>
  <si>
    <t>00</t>
    <phoneticPr fontId="5"/>
  </si>
  <si>
    <t>事 務 消耗品費</t>
    <phoneticPr fontId="3"/>
  </si>
  <si>
    <t>雑 消  耗 品 費</t>
    <phoneticPr fontId="3"/>
  </si>
  <si>
    <t>00</t>
    <phoneticPr fontId="5"/>
  </si>
  <si>
    <t>事 務  代 行 費</t>
    <phoneticPr fontId="3"/>
  </si>
  <si>
    <t>修      繕     費</t>
    <phoneticPr fontId="3"/>
  </si>
  <si>
    <t>建 物  管 理 費</t>
    <phoneticPr fontId="3"/>
  </si>
  <si>
    <t>信 用  調 査 費</t>
    <phoneticPr fontId="3"/>
  </si>
  <si>
    <t>調 査  研 究 費</t>
    <phoneticPr fontId="3"/>
  </si>
  <si>
    <t>図      書     費</t>
    <phoneticPr fontId="3"/>
  </si>
  <si>
    <t>会      議     費</t>
    <phoneticPr fontId="3"/>
  </si>
  <si>
    <t>寄      付     金</t>
    <phoneticPr fontId="3"/>
  </si>
  <si>
    <t>負      担     金</t>
    <phoneticPr fontId="3"/>
  </si>
  <si>
    <t>雑              費</t>
    <phoneticPr fontId="3"/>
  </si>
  <si>
    <t>751000</t>
    <phoneticPr fontId="5"/>
  </si>
  <si>
    <t>旅 費 交 通 費</t>
    <phoneticPr fontId="3"/>
  </si>
  <si>
    <t>（  国       内  ）</t>
    <rPh sb="3" eb="12">
      <t>コクナイ</t>
    </rPh>
    <phoneticPr fontId="5"/>
  </si>
  <si>
    <t>（  海       外  ）</t>
    <rPh sb="3" eb="12">
      <t>カイガイ</t>
    </rPh>
    <phoneticPr fontId="5"/>
  </si>
  <si>
    <t>交      際     費</t>
    <phoneticPr fontId="3"/>
  </si>
  <si>
    <t>運      送     費</t>
    <phoneticPr fontId="3"/>
  </si>
  <si>
    <t>広 告 宣 伝 費</t>
    <phoneticPr fontId="3"/>
  </si>
  <si>
    <t>00</t>
    <phoneticPr fontId="5"/>
  </si>
  <si>
    <t>売      出      費</t>
    <phoneticPr fontId="3"/>
  </si>
  <si>
    <t>店   頭   経  費</t>
    <phoneticPr fontId="3"/>
  </si>
  <si>
    <t>海 外 提 携 費</t>
    <phoneticPr fontId="3"/>
  </si>
  <si>
    <t>貸倒引当繰入</t>
    <phoneticPr fontId="3"/>
  </si>
  <si>
    <t>共通経費負担額</t>
    <phoneticPr fontId="3"/>
  </si>
  <si>
    <t>合計</t>
    <rPh sb="0" eb="2">
      <t>ゴウケイ</t>
    </rPh>
    <phoneticPr fontId="5"/>
  </si>
  <si>
    <t>TA間接部門費</t>
    <phoneticPr fontId="3"/>
  </si>
  <si>
    <t>本部費負担額１</t>
    <phoneticPr fontId="3"/>
  </si>
  <si>
    <t>本部費負担額２</t>
    <phoneticPr fontId="3"/>
  </si>
  <si>
    <t>使用設備費２</t>
    <rPh sb="3" eb="4">
      <t>ビ</t>
    </rPh>
    <phoneticPr fontId="3"/>
  </si>
  <si>
    <t xml:space="preserve"> 事     業     税</t>
    <phoneticPr fontId="3"/>
  </si>
  <si>
    <t xml:space="preserve"> 減 価 償 却 費</t>
    <phoneticPr fontId="3"/>
  </si>
  <si>
    <t>総合計</t>
    <rPh sb="0" eb="3">
      <t>ソウゴウケイ</t>
    </rPh>
    <phoneticPr fontId="5"/>
  </si>
  <si>
    <t>返品調整引当繰入</t>
    <rPh sb="0" eb="2">
      <t>ヘンピン</t>
    </rPh>
    <rPh sb="2" eb="4">
      <t>チョウセイ</t>
    </rPh>
    <rPh sb="4" eb="6">
      <t>ヒキア</t>
    </rPh>
    <rPh sb="6" eb="8">
      <t>クリイ</t>
    </rPh>
    <phoneticPr fontId="3"/>
  </si>
  <si>
    <t>640000</t>
    <phoneticPr fontId="5"/>
  </si>
  <si>
    <t>販売コミッション</t>
    <rPh sb="0" eb="2">
      <t>ハンバイ</t>
    </rPh>
    <phoneticPr fontId="3"/>
  </si>
  <si>
    <t>受   取   利   息</t>
    <rPh sb="0" eb="5">
      <t>ウケト</t>
    </rPh>
    <rPh sb="8" eb="13">
      <t>リソク</t>
    </rPh>
    <phoneticPr fontId="5"/>
  </si>
  <si>
    <t>受 取 配 当 金</t>
    <rPh sb="0" eb="1">
      <t>ウケ</t>
    </rPh>
    <rPh sb="2" eb="3">
      <t>トリ</t>
    </rPh>
    <rPh sb="4" eb="9">
      <t>ハイトウキン</t>
    </rPh>
    <phoneticPr fontId="5"/>
  </si>
  <si>
    <t>有価証券売却益</t>
    <rPh sb="0" eb="2">
      <t>ユウカ</t>
    </rPh>
    <rPh sb="2" eb="4">
      <t>ショウケン</t>
    </rPh>
    <rPh sb="4" eb="6">
      <t>バイキャク</t>
    </rPh>
    <rPh sb="6" eb="7">
      <t>エキ</t>
    </rPh>
    <phoneticPr fontId="5"/>
  </si>
  <si>
    <t>受取地代家賃</t>
    <rPh sb="0" eb="1">
      <t>ウケ</t>
    </rPh>
    <rPh sb="1" eb="2">
      <t>トリ</t>
    </rPh>
    <rPh sb="2" eb="3">
      <t>チ</t>
    </rPh>
    <rPh sb="3" eb="4">
      <t>ダイ</t>
    </rPh>
    <rPh sb="4" eb="5">
      <t>ヤ</t>
    </rPh>
    <rPh sb="5" eb="6">
      <t>チンギン</t>
    </rPh>
    <phoneticPr fontId="5"/>
  </si>
  <si>
    <t>雑      収      入</t>
    <rPh sb="0" eb="1">
      <t>ザッシュ</t>
    </rPh>
    <rPh sb="7" eb="15">
      <t>シュウニュウ</t>
    </rPh>
    <phoneticPr fontId="5"/>
  </si>
  <si>
    <t>支   払  利   息</t>
    <rPh sb="0" eb="5">
      <t>シハライ</t>
    </rPh>
    <rPh sb="7" eb="12">
      <t>リソク</t>
    </rPh>
    <phoneticPr fontId="5"/>
  </si>
  <si>
    <t>利 子  割 引 料</t>
    <rPh sb="0" eb="3">
      <t>リシ</t>
    </rPh>
    <rPh sb="5" eb="8">
      <t>ワリビキ</t>
    </rPh>
    <rPh sb="9" eb="10">
      <t>リョウ</t>
    </rPh>
    <phoneticPr fontId="5"/>
  </si>
  <si>
    <t>有価証券売却損</t>
    <rPh sb="0" eb="4">
      <t>ユウカショウケン</t>
    </rPh>
    <rPh sb="4" eb="6">
      <t>バイキャク</t>
    </rPh>
    <rPh sb="6" eb="7">
      <t>ソン</t>
    </rPh>
    <phoneticPr fontId="5"/>
  </si>
  <si>
    <t>貸倒引当金繰入</t>
    <rPh sb="0" eb="2">
      <t>カシダオ</t>
    </rPh>
    <rPh sb="2" eb="5">
      <t>ヒキアテキン</t>
    </rPh>
    <rPh sb="5" eb="7">
      <t>クリイ</t>
    </rPh>
    <phoneticPr fontId="5"/>
  </si>
  <si>
    <t>雑     損     失</t>
    <rPh sb="0" eb="1">
      <t>ザツ</t>
    </rPh>
    <rPh sb="6" eb="7">
      <t>ソン</t>
    </rPh>
    <rPh sb="12" eb="13">
      <t>シツ</t>
    </rPh>
    <phoneticPr fontId="5"/>
  </si>
  <si>
    <t>社   内   金  利</t>
    <rPh sb="0" eb="5">
      <t>シャナイ</t>
    </rPh>
    <rPh sb="8" eb="12">
      <t>キンリ</t>
    </rPh>
    <phoneticPr fontId="5"/>
  </si>
  <si>
    <t>00</t>
    <phoneticPr fontId="5"/>
  </si>
  <si>
    <t>713000</t>
    <phoneticPr fontId="5"/>
  </si>
  <si>
    <t>社 員 教 育 費</t>
    <phoneticPr fontId="3"/>
  </si>
  <si>
    <t>保     険      料</t>
    <phoneticPr fontId="3"/>
  </si>
  <si>
    <t>00</t>
    <phoneticPr fontId="5"/>
  </si>
  <si>
    <t>水 道  光 熱 費</t>
    <phoneticPr fontId="3"/>
  </si>
  <si>
    <t>02</t>
    <phoneticPr fontId="5"/>
  </si>
  <si>
    <t>00</t>
    <phoneticPr fontId="5"/>
  </si>
  <si>
    <t>00</t>
    <phoneticPr fontId="5"/>
  </si>
  <si>
    <t>00</t>
    <phoneticPr fontId="5"/>
  </si>
  <si>
    <t>829000</t>
    <phoneticPr fontId="5"/>
  </si>
  <si>
    <t>Y</t>
  </si>
  <si>
    <t>Y</t>
    <phoneticPr fontId="3"/>
  </si>
  <si>
    <t>データ出力</t>
    <rPh sb="3" eb="5">
      <t>シュツリョク</t>
    </rPh>
    <phoneticPr fontId="3"/>
  </si>
  <si>
    <t>マスタチェック</t>
    <phoneticPr fontId="3"/>
  </si>
  <si>
    <t>入力制御１</t>
    <rPh sb="0" eb="2">
      <t>ニュウリョク</t>
    </rPh>
    <rPh sb="2" eb="4">
      <t>セイギョ</t>
    </rPh>
    <phoneticPr fontId="3"/>
  </si>
  <si>
    <t>入力制御２</t>
    <rPh sb="0" eb="2">
      <t>ニュウリョク</t>
    </rPh>
    <rPh sb="2" eb="4">
      <t>セイギョ</t>
    </rPh>
    <phoneticPr fontId="3"/>
  </si>
  <si>
    <t>入力制御３</t>
    <rPh sb="0" eb="2">
      <t>ニュウリョク</t>
    </rPh>
    <rPh sb="2" eb="4">
      <t>セイギョ</t>
    </rPh>
    <phoneticPr fontId="3"/>
  </si>
  <si>
    <t>データ入力</t>
    <rPh sb="3" eb="5">
      <t>ニュウリョク</t>
    </rPh>
    <phoneticPr fontId="3"/>
  </si>
  <si>
    <t>小計１</t>
    <rPh sb="0" eb="2">
      <t>ショウケイ</t>
    </rPh>
    <phoneticPr fontId="3"/>
  </si>
  <si>
    <t>計</t>
    <phoneticPr fontId="3"/>
  </si>
  <si>
    <t>一　　般　　管　　理　　費</t>
    <rPh sb="0" eb="1">
      <t>イチ</t>
    </rPh>
    <rPh sb="3" eb="4">
      <t>パン</t>
    </rPh>
    <rPh sb="6" eb="7">
      <t>カン</t>
    </rPh>
    <rPh sb="9" eb="10">
      <t>リ</t>
    </rPh>
    <rPh sb="12" eb="13">
      <t>ヒ</t>
    </rPh>
    <phoneticPr fontId="5"/>
  </si>
  <si>
    <t>人　　　件　　　費</t>
    <rPh sb="0" eb="1">
      <t>ヒト</t>
    </rPh>
    <rPh sb="4" eb="5">
      <t>ケン</t>
    </rPh>
    <rPh sb="8" eb="9">
      <t>ヒ</t>
    </rPh>
    <phoneticPr fontId="5"/>
  </si>
  <si>
    <t>販　　売　　費</t>
    <phoneticPr fontId="3"/>
  </si>
  <si>
    <t>間接経費</t>
    <phoneticPr fontId="3"/>
  </si>
  <si>
    <t>営業外費用</t>
    <rPh sb="0" eb="1">
      <t>エイ</t>
    </rPh>
    <rPh sb="1" eb="2">
      <t>ギョウ</t>
    </rPh>
    <rPh sb="2" eb="3">
      <t>ガイ</t>
    </rPh>
    <rPh sb="3" eb="4">
      <t>ヒ</t>
    </rPh>
    <rPh sb="4" eb="5">
      <t>ヨウ</t>
    </rPh>
    <phoneticPr fontId="5"/>
  </si>
  <si>
    <t>営業外収益</t>
  </si>
  <si>
    <t>給           料</t>
    <phoneticPr fontId="3"/>
  </si>
  <si>
    <t>年  計</t>
    <rPh sb="0" eb="1">
      <t>ネン</t>
    </rPh>
    <rPh sb="3" eb="4">
      <t>ケイ</t>
    </rPh>
    <phoneticPr fontId="3"/>
  </si>
  <si>
    <t>経費①</t>
    <rPh sb="0" eb="2">
      <t>ケイヒ</t>
    </rPh>
    <phoneticPr fontId="5"/>
  </si>
  <si>
    <t>711AAA</t>
    <phoneticPr fontId="3"/>
  </si>
  <si>
    <t>762AAA</t>
    <phoneticPr fontId="3"/>
  </si>
  <si>
    <t>経費②</t>
    <rPh sb="0" eb="2">
      <t>ケイヒ</t>
    </rPh>
    <phoneticPr fontId="3"/>
  </si>
  <si>
    <t>営業外収益</t>
    <rPh sb="0" eb="2">
      <t>エイギョウ</t>
    </rPh>
    <rPh sb="2" eb="3">
      <t>ガイ</t>
    </rPh>
    <rPh sb="3" eb="5">
      <t>シュウエキ</t>
    </rPh>
    <phoneticPr fontId="3"/>
  </si>
  <si>
    <t>811AAA</t>
    <phoneticPr fontId="3"/>
  </si>
  <si>
    <t>821BBB</t>
    <phoneticPr fontId="3"/>
  </si>
  <si>
    <t>811BBB</t>
    <phoneticPr fontId="3"/>
  </si>
  <si>
    <t>営業外費用</t>
    <rPh sb="0" eb="2">
      <t>エイギョウ</t>
    </rPh>
    <rPh sb="2" eb="3">
      <t>ガイ</t>
    </rPh>
    <rPh sb="3" eb="5">
      <t>ヒヨウ</t>
    </rPh>
    <phoneticPr fontId="3"/>
  </si>
  <si>
    <t>711BBB</t>
    <phoneticPr fontId="3"/>
  </si>
  <si>
    <t>人件費</t>
    <rPh sb="0" eb="3">
      <t>ジンケンヒ</t>
    </rPh>
    <phoneticPr fontId="3"/>
  </si>
  <si>
    <t>731BBB</t>
    <phoneticPr fontId="3"/>
  </si>
  <si>
    <t>管理費</t>
    <rPh sb="0" eb="3">
      <t>カンリヒ</t>
    </rPh>
    <phoneticPr fontId="3"/>
  </si>
  <si>
    <t>751BBB</t>
    <phoneticPr fontId="3"/>
  </si>
  <si>
    <t>販売費</t>
    <rPh sb="0" eb="3">
      <t>ハンバイヒ</t>
    </rPh>
    <phoneticPr fontId="3"/>
  </si>
  <si>
    <t>BM0030</t>
    <phoneticPr fontId="3"/>
  </si>
  <si>
    <t>BM0020</t>
    <phoneticPr fontId="3"/>
  </si>
  <si>
    <t>厚    生    費</t>
    <phoneticPr fontId="3"/>
  </si>
  <si>
    <t>通    勤    費</t>
    <phoneticPr fontId="3"/>
  </si>
  <si>
    <t>厚  生  費  （計）</t>
    <phoneticPr fontId="3"/>
  </si>
  <si>
    <t>法定福利費(FA)</t>
    <phoneticPr fontId="3"/>
  </si>
  <si>
    <t>通  勤  費  （計）</t>
    <phoneticPr fontId="3"/>
  </si>
  <si>
    <t>厚生費(FA)</t>
    <phoneticPr fontId="3"/>
  </si>
  <si>
    <t>通勤費(FA)</t>
    <phoneticPr fontId="3"/>
  </si>
  <si>
    <t>BM0010</t>
    <phoneticPr fontId="3"/>
  </si>
  <si>
    <t>法定福利費 （計）</t>
    <phoneticPr fontId="3"/>
  </si>
  <si>
    <t>723000</t>
    <phoneticPr fontId="3"/>
  </si>
  <si>
    <t>724000</t>
    <phoneticPr fontId="3"/>
  </si>
  <si>
    <t>求     人     費</t>
    <rPh sb="0" eb="1">
      <t>モトム</t>
    </rPh>
    <rPh sb="6" eb="7">
      <t>ヒト</t>
    </rPh>
    <rPh sb="12" eb="13">
      <t>ヒ</t>
    </rPh>
    <phoneticPr fontId="3"/>
  </si>
  <si>
    <t>株式報酬費用</t>
    <phoneticPr fontId="3"/>
  </si>
  <si>
    <t xml:space="preserve"> 4月</t>
    <phoneticPr fontId="3"/>
  </si>
  <si>
    <t xml:space="preserve"> 5月</t>
    <phoneticPr fontId="5"/>
  </si>
  <si>
    <t xml:space="preserve"> 6月</t>
  </si>
  <si>
    <t xml:space="preserve"> 7月</t>
  </si>
  <si>
    <t xml:space="preserve"> 8月</t>
  </si>
  <si>
    <t xml:space="preserve"> 9月</t>
  </si>
  <si>
    <t xml:space="preserve"> 10月</t>
    <phoneticPr fontId="3"/>
  </si>
  <si>
    <t xml:space="preserve"> 11月</t>
    <phoneticPr fontId="5"/>
  </si>
  <si>
    <t xml:space="preserve"> 12月</t>
    <phoneticPr fontId="5"/>
  </si>
  <si>
    <t xml:space="preserve"> 1月</t>
    <phoneticPr fontId="5"/>
  </si>
  <si>
    <t xml:space="preserve"> 2月</t>
    <phoneticPr fontId="5"/>
  </si>
  <si>
    <t xml:space="preserve"> 3月</t>
    <phoneticPr fontId="5"/>
  </si>
  <si>
    <t>会社</t>
    <rPh sb="0" eb="2">
      <t>カイシャ</t>
    </rPh>
    <phoneticPr fontId="3"/>
  </si>
  <si>
    <t>課</t>
    <rPh sb="0" eb="1">
      <t>カ</t>
    </rPh>
    <phoneticPr fontId="3"/>
  </si>
  <si>
    <t>年度</t>
    <rPh sb="0" eb="2">
      <t>ネンド</t>
    </rPh>
    <phoneticPr fontId="3"/>
  </si>
  <si>
    <t>00000：キング（全社）</t>
    <rPh sb="10" eb="12">
      <t>ゼンシャ</t>
    </rPh>
    <phoneticPr fontId="3"/>
  </si>
  <si>
    <t>13416：ロジスティックス東京</t>
    <rPh sb="14" eb="16">
      <t>トウキョウ</t>
    </rPh>
    <phoneticPr fontId="3"/>
  </si>
  <si>
    <t>業務</t>
    <rPh sb="0" eb="2">
      <t>ギョウム</t>
    </rPh>
    <phoneticPr fontId="3"/>
  </si>
  <si>
    <t>アプリVer.</t>
    <phoneticPr fontId="3"/>
  </si>
  <si>
    <t>ファイル生成日</t>
    <rPh sb="4" eb="7">
      <t>セイセイビ</t>
    </rPh>
    <phoneticPr fontId="3"/>
  </si>
  <si>
    <t>FY330</t>
    <phoneticPr fontId="3"/>
  </si>
  <si>
    <t>業務名</t>
    <rPh sb="0" eb="2">
      <t>ギョウム</t>
    </rPh>
    <rPh sb="2" eb="3">
      <t>メイ</t>
    </rPh>
    <phoneticPr fontId="3"/>
  </si>
  <si>
    <t>部門別経費予算</t>
    <rPh sb="0" eb="3">
      <t>ブモンベツ</t>
    </rPh>
    <rPh sb="3" eb="5">
      <t>ケイヒ</t>
    </rPh>
    <rPh sb="5" eb="7">
      <t>ヨサン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</si>
</sst>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name val="ＭＳ Ｐゴシック"/>
      <charset val="128"/>
    </font>
    <font>
      <sz val="11"/>
      <name val="ＭＳ Ｐゴシック"/>
      <family val="3"/>
      <charset val="128"/>
    </font>
    <font>
      <sz val="8"/>
      <name val="ＭＳ Ｐゴシック"/>
      <family val="3"/>
      <charset val="128"/>
    </font>
    <font>
      <sz val="6"/>
      <name val="ＭＳ Ｐゴシック"/>
      <family val="3"/>
      <charset val="128"/>
    </font>
    <font>
      <sz val="9"/>
      <name val="ＭＳ Ｐゴシック"/>
      <family val="3"/>
      <charset val="128"/>
    </font>
    <font>
      <sz val="6"/>
      <name val="ＭＳ 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1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</fills>
  <borders count="72">
    <border>
      <left/>
      <right/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47"/>
      </right>
      <top style="thin">
        <color indexed="64"/>
      </top>
      <bottom style="thin">
        <color indexed="64"/>
      </bottom>
      <diagonal/>
    </border>
    <border>
      <left style="thin">
        <color indexed="47"/>
      </left>
      <right style="thin">
        <color indexed="47"/>
      </right>
      <top style="thin">
        <color indexed="64"/>
      </top>
      <bottom style="thin">
        <color indexed="64"/>
      </bottom>
      <diagonal/>
    </border>
    <border>
      <left style="thin">
        <color indexed="47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9"/>
      </left>
      <right style="thin">
        <color indexed="9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9"/>
      </right>
      <top/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 style="thin">
        <color indexed="64"/>
      </bottom>
      <diagonal/>
    </border>
    <border>
      <left/>
      <right style="thin">
        <color indexed="9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2">
    <xf numFmtId="0" fontId="0" fillId="0" borderId="0"/>
    <xf numFmtId="38" fontId="1" fillId="0" borderId="0" applyFont="0" applyFill="0" applyBorder="0" applyAlignment="0" applyProtection="0"/>
  </cellStyleXfs>
  <cellXfs count="201">
    <xf numFmtId="0" fontId="0" fillId="0" borderId="0" xfId="0"/>
    <xf numFmtId="38" fontId="4" fillId="2" borderId="1" xfId="1" applyFont="1" applyFill="1" applyBorder="1" applyAlignment="1" applyProtection="1">
      <alignment vertical="center"/>
    </xf>
    <xf numFmtId="38" fontId="4" fillId="2" borderId="2" xfId="1" applyFont="1" applyFill="1" applyBorder="1" applyAlignment="1" applyProtection="1">
      <alignment vertical="center"/>
    </xf>
    <xf numFmtId="38" fontId="4" fillId="2" borderId="3" xfId="1" applyFont="1" applyFill="1" applyBorder="1" applyAlignment="1" applyProtection="1">
      <alignment vertical="center"/>
    </xf>
    <xf numFmtId="38" fontId="4" fillId="2" borderId="4" xfId="1" applyFont="1" applyFill="1" applyBorder="1" applyAlignment="1" applyProtection="1">
      <alignment vertical="center"/>
    </xf>
    <xf numFmtId="38" fontId="4" fillId="2" borderId="5" xfId="1" applyFont="1" applyFill="1" applyBorder="1" applyAlignment="1" applyProtection="1">
      <alignment vertical="center"/>
    </xf>
    <xf numFmtId="38" fontId="4" fillId="2" borderId="6" xfId="1" applyFont="1" applyFill="1" applyBorder="1" applyAlignment="1" applyProtection="1">
      <alignment vertical="center"/>
    </xf>
    <xf numFmtId="38" fontId="4" fillId="2" borderId="7" xfId="1" applyFont="1" applyFill="1" applyBorder="1" applyAlignment="1" applyProtection="1">
      <alignment vertical="center"/>
    </xf>
    <xf numFmtId="38" fontId="4" fillId="2" borderId="8" xfId="1" applyFont="1" applyFill="1" applyBorder="1" applyAlignment="1" applyProtection="1">
      <alignment vertical="center"/>
    </xf>
    <xf numFmtId="38" fontId="4" fillId="2" borderId="9" xfId="1" applyFont="1" applyFill="1" applyBorder="1" applyAlignment="1" applyProtection="1">
      <alignment vertical="center"/>
    </xf>
    <xf numFmtId="38" fontId="4" fillId="2" borderId="10" xfId="1" applyFont="1" applyFill="1" applyBorder="1" applyAlignment="1" applyProtection="1">
      <alignment vertical="center"/>
    </xf>
    <xf numFmtId="38" fontId="4" fillId="2" borderId="11" xfId="1" applyFont="1" applyFill="1" applyBorder="1" applyAlignment="1" applyProtection="1">
      <alignment vertical="center"/>
    </xf>
    <xf numFmtId="38" fontId="4" fillId="2" borderId="12" xfId="1" applyFont="1" applyFill="1" applyBorder="1" applyAlignment="1" applyProtection="1">
      <alignment vertical="center"/>
    </xf>
    <xf numFmtId="38" fontId="4" fillId="2" borderId="13" xfId="1" applyFont="1" applyFill="1" applyBorder="1" applyAlignment="1" applyProtection="1">
      <alignment vertical="center"/>
    </xf>
    <xf numFmtId="38" fontId="4" fillId="2" borderId="14" xfId="1" applyFont="1" applyFill="1" applyBorder="1" applyAlignment="1" applyProtection="1">
      <alignment vertical="center"/>
    </xf>
    <xf numFmtId="38" fontId="4" fillId="2" borderId="15" xfId="1" applyFont="1" applyFill="1" applyBorder="1" applyAlignment="1" applyProtection="1">
      <alignment vertical="center"/>
    </xf>
    <xf numFmtId="38" fontId="4" fillId="2" borderId="16" xfId="1" applyFont="1" applyFill="1" applyBorder="1" applyAlignment="1" applyProtection="1">
      <alignment vertical="center"/>
    </xf>
    <xf numFmtId="38" fontId="4" fillId="2" borderId="17" xfId="1" applyFont="1" applyFill="1" applyBorder="1" applyAlignment="1" applyProtection="1">
      <alignment vertical="center"/>
    </xf>
    <xf numFmtId="38" fontId="4" fillId="2" borderId="18" xfId="1" applyFont="1" applyFill="1" applyBorder="1" applyAlignment="1" applyProtection="1">
      <alignment vertical="center"/>
    </xf>
    <xf numFmtId="49" fontId="4" fillId="3" borderId="19" xfId="1" applyNumberFormat="1" applyFont="1" applyFill="1" applyBorder="1" applyAlignment="1" applyProtection="1">
      <alignment horizontal="center" vertical="center"/>
    </xf>
    <xf numFmtId="49" fontId="4" fillId="3" borderId="20" xfId="1" applyNumberFormat="1" applyFont="1" applyFill="1" applyBorder="1" applyAlignment="1" applyProtection="1">
      <alignment horizontal="center" vertical="center"/>
    </xf>
    <xf numFmtId="49" fontId="4" fillId="3" borderId="21" xfId="1" applyNumberFormat="1" applyFont="1" applyFill="1" applyBorder="1" applyAlignment="1" applyProtection="1">
      <alignment horizontal="center" vertical="center"/>
    </xf>
    <xf numFmtId="49" fontId="4" fillId="3" borderId="15" xfId="1" applyNumberFormat="1" applyFont="1" applyFill="1" applyBorder="1" applyAlignment="1" applyProtection="1">
      <alignment horizontal="center" vertical="center"/>
    </xf>
    <xf numFmtId="49" fontId="4" fillId="3" borderId="22" xfId="1" applyNumberFormat="1" applyFont="1" applyFill="1" applyBorder="1" applyAlignment="1" applyProtection="1">
      <alignment horizontal="center" vertical="center"/>
    </xf>
    <xf numFmtId="49" fontId="2" fillId="3" borderId="19" xfId="1" quotePrefix="1" applyNumberFormat="1" applyFont="1" applyFill="1" applyBorder="1" applyAlignment="1" applyProtection="1">
      <alignment horizontal="center" vertical="center"/>
    </xf>
    <xf numFmtId="49" fontId="2" fillId="3" borderId="20" xfId="1" quotePrefix="1" applyNumberFormat="1" applyFont="1" applyFill="1" applyBorder="1" applyAlignment="1" applyProtection="1">
      <alignment horizontal="center" vertical="center"/>
    </xf>
    <xf numFmtId="49" fontId="2" fillId="3" borderId="21" xfId="1" quotePrefix="1" applyNumberFormat="1" applyFont="1" applyFill="1" applyBorder="1" applyAlignment="1" applyProtection="1">
      <alignment horizontal="center" vertical="center"/>
    </xf>
    <xf numFmtId="49" fontId="2" fillId="3" borderId="23" xfId="1" applyNumberFormat="1" applyFont="1" applyFill="1" applyBorder="1" applyAlignment="1" applyProtection="1">
      <alignment horizontal="center" vertical="center"/>
    </xf>
    <xf numFmtId="49" fontId="2" fillId="3" borderId="22" xfId="1" quotePrefix="1" applyNumberFormat="1" applyFont="1" applyFill="1" applyBorder="1" applyAlignment="1" applyProtection="1">
      <alignment horizontal="center" vertical="center"/>
    </xf>
    <xf numFmtId="0" fontId="0" fillId="0" borderId="0" xfId="0" applyAlignment="1" applyProtection="1"/>
    <xf numFmtId="38" fontId="2" fillId="3" borderId="14" xfId="1" applyFont="1" applyFill="1" applyBorder="1" applyAlignment="1" applyProtection="1">
      <alignment horizontal="center" vertical="center"/>
    </xf>
    <xf numFmtId="38" fontId="2" fillId="3" borderId="2" xfId="1" applyFont="1" applyFill="1" applyBorder="1" applyAlignment="1" applyProtection="1">
      <alignment horizontal="center" vertical="center"/>
    </xf>
    <xf numFmtId="38" fontId="2" fillId="3" borderId="24" xfId="1" applyFont="1" applyFill="1" applyBorder="1" applyAlignment="1" applyProtection="1">
      <alignment horizontal="center" vertical="center"/>
    </xf>
    <xf numFmtId="38" fontId="2" fillId="3" borderId="15" xfId="1" applyFont="1" applyFill="1" applyBorder="1" applyAlignment="1" applyProtection="1">
      <alignment horizontal="center" vertical="center"/>
    </xf>
    <xf numFmtId="38" fontId="2" fillId="3" borderId="3" xfId="1" applyFont="1" applyFill="1" applyBorder="1" applyAlignment="1" applyProtection="1">
      <alignment horizontal="center" vertical="center"/>
    </xf>
    <xf numFmtId="38" fontId="2" fillId="3" borderId="11" xfId="1" applyFont="1" applyFill="1" applyBorder="1" applyAlignment="1" applyProtection="1">
      <alignment horizontal="center" vertical="center"/>
    </xf>
    <xf numFmtId="38" fontId="2" fillId="3" borderId="4" xfId="1" applyFont="1" applyFill="1" applyBorder="1" applyAlignment="1" applyProtection="1">
      <alignment horizontal="center" vertical="center"/>
    </xf>
    <xf numFmtId="38" fontId="2" fillId="3" borderId="5" xfId="1" applyFont="1" applyFill="1" applyBorder="1" applyAlignment="1" applyProtection="1">
      <alignment horizontal="center" vertical="center"/>
    </xf>
    <xf numFmtId="38" fontId="2" fillId="3" borderId="12" xfId="1" applyFont="1" applyFill="1" applyBorder="1" applyAlignment="1" applyProtection="1">
      <alignment horizontal="center" vertical="center"/>
    </xf>
    <xf numFmtId="0" fontId="6" fillId="0" borderId="0" xfId="0" applyFont="1" applyAlignment="1" applyProtection="1"/>
    <xf numFmtId="38" fontId="2" fillId="3" borderId="25" xfId="1" applyFont="1" applyFill="1" applyBorder="1" applyAlignment="1" applyProtection="1">
      <alignment horizontal="center" vertical="center"/>
    </xf>
    <xf numFmtId="38" fontId="2" fillId="3" borderId="26" xfId="1" applyFont="1" applyFill="1" applyBorder="1" applyAlignment="1" applyProtection="1">
      <alignment horizontal="center" vertical="center"/>
    </xf>
    <xf numFmtId="38" fontId="2" fillId="3" borderId="27" xfId="1" applyFont="1" applyFill="1" applyBorder="1" applyAlignment="1" applyProtection="1">
      <alignment horizontal="center" vertical="center"/>
    </xf>
    <xf numFmtId="49" fontId="4" fillId="4" borderId="28" xfId="0" applyNumberFormat="1" applyFont="1" applyFill="1" applyBorder="1" applyAlignment="1" applyProtection="1">
      <alignment vertical="center"/>
    </xf>
    <xf numFmtId="49" fontId="2" fillId="4" borderId="28" xfId="0" applyNumberFormat="1" applyFont="1" applyFill="1" applyBorder="1" applyAlignment="1" applyProtection="1">
      <alignment vertical="center"/>
    </xf>
    <xf numFmtId="0" fontId="2" fillId="4" borderId="28" xfId="0" applyFont="1" applyFill="1" applyBorder="1" applyAlignment="1" applyProtection="1">
      <alignment vertical="center"/>
    </xf>
    <xf numFmtId="0" fontId="4" fillId="4" borderId="28" xfId="0" applyFont="1" applyFill="1" applyBorder="1" applyAlignment="1" applyProtection="1">
      <alignment vertical="center"/>
    </xf>
    <xf numFmtId="38" fontId="4" fillId="4" borderId="30" xfId="1" applyFont="1" applyFill="1" applyBorder="1" applyAlignment="1" applyProtection="1">
      <alignment horizontal="right" vertical="center"/>
      <protection locked="0"/>
    </xf>
    <xf numFmtId="38" fontId="4" fillId="4" borderId="31" xfId="1" applyFont="1" applyFill="1" applyBorder="1" applyAlignment="1" applyProtection="1">
      <alignment horizontal="right" vertical="center"/>
      <protection locked="0"/>
    </xf>
    <xf numFmtId="38" fontId="4" fillId="4" borderId="32" xfId="1" applyFont="1" applyFill="1" applyBorder="1" applyAlignment="1" applyProtection="1">
      <alignment horizontal="right" vertical="center"/>
      <protection locked="0"/>
    </xf>
    <xf numFmtId="38" fontId="4" fillId="4" borderId="33" xfId="1" applyFont="1" applyFill="1" applyBorder="1" applyAlignment="1" applyProtection="1">
      <alignment horizontal="right" vertical="center"/>
      <protection locked="0"/>
    </xf>
    <xf numFmtId="38" fontId="4" fillId="4" borderId="34" xfId="1" applyFont="1" applyFill="1" applyBorder="1" applyAlignment="1" applyProtection="1">
      <alignment horizontal="right" vertical="center"/>
      <protection locked="0"/>
    </xf>
    <xf numFmtId="38" fontId="4" fillId="0" borderId="35" xfId="1" applyFont="1" applyFill="1" applyBorder="1" applyAlignment="1" applyProtection="1">
      <alignment horizontal="right" vertical="center"/>
      <protection locked="0"/>
    </xf>
    <xf numFmtId="38" fontId="4" fillId="0" borderId="30" xfId="1" applyFont="1" applyFill="1" applyBorder="1" applyAlignment="1" applyProtection="1">
      <alignment horizontal="right" vertical="center"/>
      <protection locked="0"/>
    </xf>
    <xf numFmtId="38" fontId="4" fillId="4" borderId="20" xfId="1" applyFont="1" applyFill="1" applyBorder="1" applyAlignment="1" applyProtection="1">
      <alignment horizontal="right" vertical="center"/>
      <protection locked="0"/>
    </xf>
    <xf numFmtId="38" fontId="4" fillId="4" borderId="36" xfId="1" applyFont="1" applyFill="1" applyBorder="1" applyAlignment="1" applyProtection="1">
      <alignment horizontal="right" vertical="center"/>
      <protection locked="0"/>
    </xf>
    <xf numFmtId="38" fontId="4" fillId="4" borderId="35" xfId="1" applyFont="1" applyFill="1" applyBorder="1" applyAlignment="1" applyProtection="1">
      <alignment horizontal="right" vertical="center"/>
      <protection locked="0"/>
    </xf>
    <xf numFmtId="38" fontId="4" fillId="4" borderId="37" xfId="1" applyFont="1" applyFill="1" applyBorder="1" applyAlignment="1" applyProtection="1">
      <alignment horizontal="right" vertical="center"/>
      <protection locked="0"/>
    </xf>
    <xf numFmtId="38" fontId="4" fillId="4" borderId="38" xfId="1" applyFont="1" applyFill="1" applyBorder="1" applyAlignment="1" applyProtection="1">
      <alignment horizontal="right" vertical="center"/>
      <protection locked="0"/>
    </xf>
    <xf numFmtId="38" fontId="4" fillId="4" borderId="21" xfId="1" applyFont="1" applyFill="1" applyBorder="1" applyAlignment="1" applyProtection="1">
      <alignment horizontal="right" vertical="center"/>
      <protection locked="0"/>
    </xf>
    <xf numFmtId="38" fontId="4" fillId="4" borderId="39" xfId="1" applyFont="1" applyFill="1" applyBorder="1" applyAlignment="1" applyProtection="1">
      <alignment horizontal="right" vertical="center"/>
      <protection locked="0"/>
    </xf>
    <xf numFmtId="38" fontId="4" fillId="0" borderId="33" xfId="1" applyFont="1" applyFill="1" applyBorder="1" applyAlignment="1" applyProtection="1">
      <alignment horizontal="right" vertical="center"/>
      <protection locked="0"/>
    </xf>
    <xf numFmtId="38" fontId="4" fillId="4" borderId="40" xfId="1" applyFont="1" applyFill="1" applyBorder="1" applyAlignment="1" applyProtection="1">
      <alignment horizontal="right" vertical="center"/>
      <protection locked="0"/>
    </xf>
    <xf numFmtId="38" fontId="4" fillId="4" borderId="41" xfId="1" applyFont="1" applyFill="1" applyBorder="1" applyAlignment="1" applyProtection="1">
      <alignment horizontal="right" vertical="center"/>
      <protection locked="0"/>
    </xf>
    <xf numFmtId="38" fontId="4" fillId="4" borderId="19" xfId="1" applyFont="1" applyFill="1" applyBorder="1" applyAlignment="1" applyProtection="1">
      <alignment horizontal="right" vertical="center"/>
      <protection locked="0"/>
    </xf>
    <xf numFmtId="38" fontId="4" fillId="5" borderId="42" xfId="1" applyFont="1" applyFill="1" applyBorder="1" applyAlignment="1" applyProtection="1">
      <alignment vertical="center"/>
    </xf>
    <xf numFmtId="38" fontId="4" fillId="5" borderId="31" xfId="1" applyFont="1" applyFill="1" applyBorder="1" applyAlignment="1" applyProtection="1">
      <alignment vertical="center"/>
    </xf>
    <xf numFmtId="38" fontId="4" fillId="5" borderId="20" xfId="1" applyFont="1" applyFill="1" applyBorder="1" applyAlignment="1" applyProtection="1">
      <alignment vertical="center"/>
    </xf>
    <xf numFmtId="49" fontId="4" fillId="4" borderId="43" xfId="0" applyNumberFormat="1" applyFont="1" applyFill="1" applyBorder="1" applyAlignment="1" applyProtection="1">
      <alignment vertical="center"/>
    </xf>
    <xf numFmtId="49" fontId="2" fillId="4" borderId="43" xfId="0" applyNumberFormat="1" applyFont="1" applyFill="1" applyBorder="1" applyAlignment="1" applyProtection="1">
      <alignment vertical="center"/>
    </xf>
    <xf numFmtId="0" fontId="2" fillId="4" borderId="43" xfId="0" applyFont="1" applyFill="1" applyBorder="1" applyAlignment="1" applyProtection="1">
      <alignment vertical="center"/>
    </xf>
    <xf numFmtId="0" fontId="4" fillId="4" borderId="43" xfId="0" applyFont="1" applyFill="1" applyBorder="1" applyAlignment="1" applyProtection="1">
      <alignment vertical="center"/>
    </xf>
    <xf numFmtId="38" fontId="2" fillId="3" borderId="44" xfId="1" applyFont="1" applyFill="1" applyBorder="1" applyAlignment="1" applyProtection="1">
      <alignment horizontal="center" vertical="center"/>
    </xf>
    <xf numFmtId="38" fontId="4" fillId="2" borderId="45" xfId="1" applyFont="1" applyFill="1" applyBorder="1" applyAlignment="1" applyProtection="1">
      <alignment vertical="center"/>
    </xf>
    <xf numFmtId="49" fontId="4" fillId="3" borderId="44" xfId="1" applyNumberFormat="1" applyFont="1" applyFill="1" applyBorder="1" applyAlignment="1" applyProtection="1">
      <alignment horizontal="center" vertical="center"/>
    </xf>
    <xf numFmtId="38" fontId="4" fillId="4" borderId="45" xfId="1" applyFont="1" applyFill="1" applyBorder="1" applyAlignment="1" applyProtection="1">
      <alignment horizontal="right" vertical="center"/>
      <protection locked="0"/>
    </xf>
    <xf numFmtId="38" fontId="2" fillId="3" borderId="46" xfId="1" applyFont="1" applyFill="1" applyBorder="1" applyAlignment="1" applyProtection="1">
      <alignment horizontal="center" vertical="center"/>
    </xf>
    <xf numFmtId="49" fontId="2" fillId="3" borderId="44" xfId="1" applyNumberFormat="1" applyFont="1" applyFill="1" applyBorder="1" applyAlignment="1" applyProtection="1">
      <alignment horizontal="center" vertical="center"/>
    </xf>
    <xf numFmtId="38" fontId="4" fillId="4" borderId="24" xfId="1" applyFont="1" applyFill="1" applyBorder="1" applyAlignment="1" applyProtection="1">
      <alignment horizontal="right" vertical="center"/>
      <protection locked="0"/>
    </xf>
    <xf numFmtId="38" fontId="4" fillId="2" borderId="24" xfId="1" applyFont="1" applyFill="1" applyBorder="1" applyAlignment="1" applyProtection="1">
      <alignment vertical="center"/>
    </xf>
    <xf numFmtId="38" fontId="4" fillId="5" borderId="2" xfId="1" applyFont="1" applyFill="1" applyBorder="1" applyAlignment="1" applyProtection="1">
      <alignment vertical="center"/>
    </xf>
    <xf numFmtId="38" fontId="4" fillId="5" borderId="24" xfId="1" applyFont="1" applyFill="1" applyBorder="1" applyAlignment="1" applyProtection="1">
      <alignment vertical="center"/>
    </xf>
    <xf numFmtId="38" fontId="4" fillId="4" borderId="17" xfId="1" applyFont="1" applyFill="1" applyBorder="1" applyAlignment="1" applyProtection="1">
      <alignment horizontal="right" vertical="center"/>
      <protection locked="0"/>
    </xf>
    <xf numFmtId="49" fontId="4" fillId="3" borderId="3" xfId="1" applyNumberFormat="1" applyFont="1" applyFill="1" applyBorder="1" applyAlignment="1" applyProtection="1">
      <alignment horizontal="center" vertical="center"/>
    </xf>
    <xf numFmtId="49" fontId="4" fillId="3" borderId="4" xfId="1" applyNumberFormat="1" applyFont="1" applyFill="1" applyBorder="1" applyAlignment="1" applyProtection="1">
      <alignment horizontal="center" vertical="center"/>
    </xf>
    <xf numFmtId="49" fontId="4" fillId="3" borderId="12" xfId="1" applyNumberFormat="1" applyFont="1" applyFill="1" applyBorder="1" applyAlignment="1" applyProtection="1">
      <alignment horizontal="center" vertical="center"/>
    </xf>
    <xf numFmtId="38" fontId="2" fillId="3" borderId="45" xfId="1" applyFont="1" applyFill="1" applyBorder="1" applyAlignment="1" applyProtection="1">
      <alignment horizontal="center" vertical="center"/>
    </xf>
    <xf numFmtId="49" fontId="2" fillId="3" borderId="2" xfId="1" quotePrefix="1" applyNumberFormat="1" applyFont="1" applyFill="1" applyBorder="1" applyAlignment="1" applyProtection="1">
      <alignment horizontal="center" vertical="center"/>
    </xf>
    <xf numFmtId="49" fontId="2" fillId="3" borderId="24" xfId="1" quotePrefix="1" applyNumberFormat="1" applyFont="1" applyFill="1" applyBorder="1" applyAlignment="1" applyProtection="1">
      <alignment horizontal="center" vertical="center"/>
    </xf>
    <xf numFmtId="49" fontId="2" fillId="3" borderId="45" xfId="1" quotePrefix="1" applyNumberFormat="1" applyFont="1" applyFill="1" applyBorder="1" applyAlignment="1" applyProtection="1">
      <alignment horizontal="center" vertical="center"/>
    </xf>
    <xf numFmtId="49" fontId="2" fillId="3" borderId="24" xfId="1" applyNumberFormat="1" applyFont="1" applyFill="1" applyBorder="1" applyAlignment="1" applyProtection="1">
      <alignment horizontal="center" vertical="center"/>
    </xf>
    <xf numFmtId="49" fontId="2" fillId="3" borderId="45" xfId="1" applyNumberFormat="1" applyFont="1" applyFill="1" applyBorder="1" applyAlignment="1" applyProtection="1">
      <alignment horizontal="center" vertical="center"/>
    </xf>
    <xf numFmtId="49" fontId="2" fillId="3" borderId="12" xfId="1" applyNumberFormat="1" applyFont="1" applyFill="1" applyBorder="1" applyAlignment="1" applyProtection="1">
      <alignment horizontal="center" vertical="center"/>
    </xf>
    <xf numFmtId="38" fontId="4" fillId="4" borderId="42" xfId="1" applyFont="1" applyFill="1" applyBorder="1" applyAlignment="1" applyProtection="1">
      <alignment horizontal="right" vertical="center"/>
      <protection locked="0"/>
    </xf>
    <xf numFmtId="38" fontId="4" fillId="4" borderId="47" xfId="1" applyFont="1" applyFill="1" applyBorder="1" applyAlignment="1" applyProtection="1">
      <alignment horizontal="right" vertical="center"/>
      <protection locked="0"/>
    </xf>
    <xf numFmtId="38" fontId="4" fillId="2" borderId="47" xfId="1" applyFont="1" applyFill="1" applyBorder="1" applyAlignment="1" applyProtection="1">
      <alignment vertical="center"/>
    </xf>
    <xf numFmtId="38" fontId="4" fillId="5" borderId="1" xfId="1" applyFont="1" applyFill="1" applyBorder="1" applyAlignment="1" applyProtection="1">
      <alignment vertical="center"/>
    </xf>
    <xf numFmtId="38" fontId="4" fillId="2" borderId="29" xfId="1" applyFont="1" applyFill="1" applyBorder="1" applyAlignment="1" applyProtection="1">
      <alignment vertical="center"/>
    </xf>
    <xf numFmtId="38" fontId="4" fillId="4" borderId="48" xfId="1" applyFont="1" applyFill="1" applyBorder="1" applyAlignment="1" applyProtection="1">
      <alignment horizontal="right" vertical="center"/>
      <protection locked="0"/>
    </xf>
    <xf numFmtId="38" fontId="4" fillId="2" borderId="48" xfId="1" applyFont="1" applyFill="1" applyBorder="1" applyAlignment="1" applyProtection="1">
      <alignment vertical="center"/>
    </xf>
    <xf numFmtId="38" fontId="4" fillId="5" borderId="29" xfId="1" applyFont="1" applyFill="1" applyBorder="1" applyAlignment="1" applyProtection="1">
      <alignment vertical="center"/>
    </xf>
    <xf numFmtId="38" fontId="4" fillId="2" borderId="36" xfId="1" applyFont="1" applyFill="1" applyBorder="1" applyAlignment="1" applyProtection="1">
      <alignment vertical="center"/>
    </xf>
    <xf numFmtId="38" fontId="4" fillId="4" borderId="49" xfId="1" applyFont="1" applyFill="1" applyBorder="1" applyAlignment="1" applyProtection="1">
      <alignment horizontal="right" vertical="center"/>
      <protection locked="0"/>
    </xf>
    <xf numFmtId="38" fontId="4" fillId="2" borderId="49" xfId="1" applyFont="1" applyFill="1" applyBorder="1" applyAlignment="1" applyProtection="1">
      <alignment vertical="center"/>
    </xf>
    <xf numFmtId="38" fontId="4" fillId="5" borderId="36" xfId="1" applyFont="1" applyFill="1" applyBorder="1" applyAlignment="1" applyProtection="1">
      <alignment vertical="center"/>
    </xf>
    <xf numFmtId="38" fontId="2" fillId="3" borderId="50" xfId="1" applyFont="1" applyFill="1" applyBorder="1" applyAlignment="1" applyProtection="1">
      <alignment horizontal="center" vertical="center"/>
    </xf>
    <xf numFmtId="38" fontId="2" fillId="3" borderId="51" xfId="1" applyFont="1" applyFill="1" applyBorder="1" applyAlignment="1" applyProtection="1">
      <alignment horizontal="center" vertical="center"/>
    </xf>
    <xf numFmtId="0" fontId="2" fillId="4" borderId="52" xfId="0" applyFont="1" applyFill="1" applyBorder="1" applyAlignment="1" applyProtection="1">
      <alignment horizontal="center" vertical="center"/>
    </xf>
    <xf numFmtId="38" fontId="2" fillId="3" borderId="53" xfId="1" applyFont="1" applyFill="1" applyBorder="1" applyAlignment="1" applyProtection="1">
      <alignment horizontal="center" vertical="center"/>
    </xf>
    <xf numFmtId="38" fontId="2" fillId="3" borderId="54" xfId="1" applyFont="1" applyFill="1" applyBorder="1" applyAlignment="1" applyProtection="1">
      <alignment horizontal="center" vertical="center"/>
    </xf>
    <xf numFmtId="0" fontId="2" fillId="4" borderId="55" xfId="0" applyFont="1" applyFill="1" applyBorder="1" applyAlignment="1" applyProtection="1">
      <alignment horizontal="center" vertical="center"/>
    </xf>
    <xf numFmtId="49" fontId="4" fillId="0" borderId="4" xfId="1" applyNumberFormat="1" applyFont="1" applyFill="1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49" fontId="4" fillId="0" borderId="15" xfId="1" applyNumberFormat="1" applyFont="1" applyFill="1" applyBorder="1" applyAlignment="1" applyProtection="1">
      <alignment horizontal="center" vertical="center"/>
      <protection locked="0"/>
    </xf>
    <xf numFmtId="49" fontId="4" fillId="0" borderId="11" xfId="1" applyNumberFormat="1" applyFont="1" applyFill="1" applyBorder="1" applyAlignment="1" applyProtection="1">
      <alignment horizontal="center" vertical="center"/>
      <protection locked="0"/>
    </xf>
    <xf numFmtId="49" fontId="2" fillId="0" borderId="7" xfId="1" applyNumberFormat="1" applyFont="1" applyFill="1" applyBorder="1" applyAlignment="1" applyProtection="1">
      <alignment horizontal="center" vertical="center"/>
    </xf>
    <xf numFmtId="38" fontId="4" fillId="4" borderId="56" xfId="1" applyFont="1" applyFill="1" applyBorder="1" applyAlignment="1" applyProtection="1">
      <alignment horizontal="right" vertical="center"/>
      <protection locked="0"/>
    </xf>
    <xf numFmtId="38" fontId="4" fillId="4" borderId="22" xfId="1" applyFont="1" applyFill="1" applyBorder="1" applyAlignment="1" applyProtection="1">
      <alignment horizontal="right" vertical="center"/>
      <protection locked="0"/>
    </xf>
    <xf numFmtId="49" fontId="4" fillId="3" borderId="24" xfId="1" applyNumberFormat="1" applyFont="1" applyFill="1" applyBorder="1" applyAlignment="1" applyProtection="1">
      <alignment horizontal="center" vertical="center"/>
    </xf>
    <xf numFmtId="49" fontId="4" fillId="3" borderId="17" xfId="1" applyNumberFormat="1" applyFont="1" applyFill="1" applyBorder="1" applyAlignment="1" applyProtection="1">
      <alignment horizontal="center" vertical="center"/>
    </xf>
    <xf numFmtId="49" fontId="4" fillId="3" borderId="57" xfId="1" applyNumberFormat="1" applyFont="1" applyFill="1" applyBorder="1" applyAlignment="1" applyProtection="1">
      <alignment horizontal="center" vertical="center"/>
    </xf>
    <xf numFmtId="49" fontId="4" fillId="3" borderId="58" xfId="1" applyNumberFormat="1" applyFont="1" applyFill="1" applyBorder="1" applyAlignment="1" applyProtection="1">
      <alignment horizontal="center" vertical="center"/>
    </xf>
    <xf numFmtId="49" fontId="4" fillId="3" borderId="45" xfId="1" applyNumberFormat="1" applyFont="1" applyFill="1" applyBorder="1" applyAlignment="1" applyProtection="1">
      <alignment horizontal="center" vertical="center"/>
    </xf>
    <xf numFmtId="49" fontId="2" fillId="3" borderId="17" xfId="1" quotePrefix="1" applyNumberFormat="1" applyFont="1" applyFill="1" applyBorder="1" applyAlignment="1" applyProtection="1">
      <alignment horizontal="center" vertical="center"/>
    </xf>
    <xf numFmtId="49" fontId="2" fillId="3" borderId="58" xfId="1" quotePrefix="1" applyNumberFormat="1" applyFont="1" applyFill="1" applyBorder="1" applyAlignment="1" applyProtection="1">
      <alignment horizontal="center" vertical="center"/>
    </xf>
    <xf numFmtId="38" fontId="2" fillId="3" borderId="17" xfId="1" applyFont="1" applyFill="1" applyBorder="1" applyAlignment="1" applyProtection="1">
      <alignment horizontal="center" vertical="center"/>
    </xf>
    <xf numFmtId="38" fontId="2" fillId="3" borderId="58" xfId="1" applyFont="1" applyFill="1" applyBorder="1" applyAlignment="1" applyProtection="1">
      <alignment horizontal="center" vertical="center"/>
    </xf>
    <xf numFmtId="38" fontId="4" fillId="2" borderId="58" xfId="1" applyFont="1" applyFill="1" applyBorder="1" applyAlignment="1" applyProtection="1">
      <alignment vertical="center"/>
    </xf>
    <xf numFmtId="38" fontId="4" fillId="4" borderId="59" xfId="1" applyFont="1" applyFill="1" applyBorder="1" applyAlignment="1" applyProtection="1">
      <alignment horizontal="right" vertical="center"/>
      <protection locked="0"/>
    </xf>
    <xf numFmtId="38" fontId="4" fillId="4" borderId="58" xfId="1" applyFont="1" applyFill="1" applyBorder="1" applyAlignment="1" applyProtection="1">
      <alignment horizontal="right" vertical="center"/>
      <protection locked="0"/>
    </xf>
    <xf numFmtId="38" fontId="4" fillId="2" borderId="60" xfId="1" applyFont="1" applyFill="1" applyBorder="1" applyAlignment="1" applyProtection="1">
      <alignment vertical="center"/>
    </xf>
    <xf numFmtId="38" fontId="4" fillId="2" borderId="61" xfId="1" applyFont="1" applyFill="1" applyBorder="1" applyAlignment="1" applyProtection="1">
      <alignment vertical="center"/>
    </xf>
    <xf numFmtId="38" fontId="4" fillId="2" borderId="62" xfId="1" applyFont="1" applyFill="1" applyBorder="1" applyAlignment="1" applyProtection="1">
      <alignment vertical="center"/>
    </xf>
    <xf numFmtId="49" fontId="2" fillId="3" borderId="61" xfId="1" quotePrefix="1" applyNumberFormat="1" applyFont="1" applyFill="1" applyBorder="1" applyAlignment="1" applyProtection="1">
      <alignment horizontal="center" vertical="center"/>
    </xf>
    <xf numFmtId="38" fontId="2" fillId="3" borderId="61" xfId="1" applyFont="1" applyFill="1" applyBorder="1" applyAlignment="1" applyProtection="1">
      <alignment horizontal="center" vertical="center"/>
    </xf>
    <xf numFmtId="38" fontId="2" fillId="3" borderId="63" xfId="1" applyFont="1" applyFill="1" applyBorder="1" applyAlignment="1" applyProtection="1">
      <alignment horizontal="center" vertical="center"/>
    </xf>
    <xf numFmtId="49" fontId="4" fillId="3" borderId="63" xfId="1" applyNumberFormat="1" applyFont="1" applyFill="1" applyBorder="1" applyAlignment="1" applyProtection="1">
      <alignment horizontal="center" vertical="center"/>
    </xf>
    <xf numFmtId="38" fontId="4" fillId="3" borderId="63" xfId="1" applyFont="1" applyFill="1" applyBorder="1" applyAlignment="1" applyProtection="1">
      <alignment horizontal="center" vertical="center"/>
    </xf>
    <xf numFmtId="38" fontId="4" fillId="3" borderId="7" xfId="1" applyFont="1" applyFill="1" applyBorder="1" applyAlignment="1" applyProtection="1">
      <alignment horizontal="center" vertical="center"/>
    </xf>
    <xf numFmtId="49" fontId="2" fillId="3" borderId="7" xfId="1" quotePrefix="1" applyNumberFormat="1" applyFont="1" applyFill="1" applyBorder="1" applyAlignment="1" applyProtection="1">
      <alignment horizontal="center" vertical="center"/>
    </xf>
    <xf numFmtId="38" fontId="4" fillId="2" borderId="47" xfId="1" applyFont="1" applyFill="1" applyBorder="1" applyAlignment="1" applyProtection="1">
      <alignment horizontal="right" vertical="center"/>
      <protection locked="0"/>
    </xf>
    <xf numFmtId="38" fontId="4" fillId="2" borderId="48" xfId="1" applyFont="1" applyFill="1" applyBorder="1" applyAlignment="1" applyProtection="1">
      <alignment horizontal="right" vertical="center"/>
      <protection locked="0"/>
    </xf>
    <xf numFmtId="38" fontId="4" fillId="2" borderId="49" xfId="1" applyFont="1" applyFill="1" applyBorder="1" applyAlignment="1" applyProtection="1">
      <alignment horizontal="right" vertical="center"/>
      <protection locked="0"/>
    </xf>
    <xf numFmtId="0" fontId="0" fillId="0" borderId="0" xfId="0" applyBorder="1" applyAlignment="1" applyProtection="1"/>
    <xf numFmtId="38" fontId="2" fillId="3" borderId="63" xfId="1" applyFont="1" applyFill="1" applyBorder="1" applyAlignment="1" applyProtection="1">
      <alignment horizontal="center" vertical="center" textRotation="255"/>
    </xf>
    <xf numFmtId="38" fontId="4" fillId="2" borderId="46" xfId="1" applyFont="1" applyFill="1" applyBorder="1" applyAlignment="1" applyProtection="1">
      <alignment vertical="center"/>
    </xf>
    <xf numFmtId="49" fontId="2" fillId="3" borderId="7" xfId="1" applyNumberFormat="1" applyFont="1" applyFill="1" applyBorder="1" applyAlignment="1" applyProtection="1">
      <alignment horizontal="center" vertical="center"/>
    </xf>
    <xf numFmtId="49" fontId="2" fillId="3" borderId="15" xfId="1" applyNumberFormat="1" applyFont="1" applyFill="1" applyBorder="1" applyAlignment="1" applyProtection="1">
      <alignment horizontal="center" vertical="center"/>
    </xf>
    <xf numFmtId="49" fontId="4" fillId="0" borderId="5" xfId="1" applyNumberFormat="1" applyFont="1" applyFill="1" applyBorder="1" applyAlignment="1" applyProtection="1">
      <alignment horizontal="center" vertical="center"/>
      <protection locked="0"/>
    </xf>
    <xf numFmtId="38" fontId="4" fillId="4" borderId="64" xfId="1" applyFont="1" applyFill="1" applyBorder="1" applyAlignment="1" applyProtection="1">
      <alignment horizontal="right" vertical="center"/>
      <protection locked="0"/>
    </xf>
    <xf numFmtId="38" fontId="4" fillId="2" borderId="65" xfId="1" applyFont="1" applyFill="1" applyBorder="1" applyAlignment="1" applyProtection="1">
      <alignment vertical="center"/>
    </xf>
    <xf numFmtId="38" fontId="2" fillId="3" borderId="7" xfId="1" applyFont="1" applyFill="1" applyBorder="1" applyAlignment="1" applyProtection="1">
      <alignment horizontal="center" vertical="center"/>
    </xf>
    <xf numFmtId="38" fontId="4" fillId="4" borderId="13" xfId="1" applyFont="1" applyFill="1" applyBorder="1" applyAlignment="1" applyProtection="1">
      <alignment horizontal="right" vertical="center"/>
      <protection locked="0"/>
    </xf>
    <xf numFmtId="38" fontId="4" fillId="4" borderId="8" xfId="1" applyFont="1" applyFill="1" applyBorder="1" applyAlignment="1" applyProtection="1">
      <alignment horizontal="right" vertical="center"/>
      <protection locked="0"/>
    </xf>
    <xf numFmtId="38" fontId="4" fillId="4" borderId="16" xfId="1" applyFont="1" applyFill="1" applyBorder="1" applyAlignment="1" applyProtection="1">
      <alignment horizontal="right" vertical="center"/>
      <protection locked="0"/>
    </xf>
    <xf numFmtId="38" fontId="4" fillId="2" borderId="64" xfId="1" applyFont="1" applyFill="1" applyBorder="1" applyAlignment="1" applyProtection="1">
      <alignment horizontal="right" vertical="center"/>
      <protection locked="0"/>
    </xf>
    <xf numFmtId="0" fontId="4" fillId="0" borderId="11" xfId="0" applyFont="1" applyBorder="1" applyAlignment="1" applyProtection="1">
      <alignment horizontal="center" vertical="center"/>
      <protection locked="0"/>
    </xf>
    <xf numFmtId="0" fontId="4" fillId="0" borderId="4" xfId="0" applyFont="1" applyBorder="1" applyAlignment="1" applyProtection="1">
      <alignment horizontal="center" vertical="center"/>
      <protection locked="0"/>
    </xf>
    <xf numFmtId="0" fontId="4" fillId="0" borderId="5" xfId="0" applyFont="1" applyBorder="1" applyAlignment="1" applyProtection="1">
      <alignment horizontal="center" vertical="center"/>
      <protection locked="0"/>
    </xf>
    <xf numFmtId="0" fontId="4" fillId="0" borderId="15" xfId="0" applyFont="1" applyBorder="1" applyAlignment="1" applyProtection="1">
      <alignment horizontal="center" vertical="center"/>
      <protection locked="0"/>
    </xf>
    <xf numFmtId="38" fontId="4" fillId="5" borderId="41" xfId="1" applyFont="1" applyFill="1" applyBorder="1" applyAlignment="1" applyProtection="1">
      <alignment horizontal="right" vertical="center"/>
      <protection locked="0"/>
    </xf>
    <xf numFmtId="38" fontId="4" fillId="5" borderId="34" xfId="1" applyFont="1" applyFill="1" applyBorder="1" applyAlignment="1" applyProtection="1">
      <alignment horizontal="right" vertical="center"/>
      <protection locked="0"/>
    </xf>
    <xf numFmtId="38" fontId="4" fillId="5" borderId="39" xfId="1" applyFont="1" applyFill="1" applyBorder="1" applyAlignment="1" applyProtection="1">
      <alignment horizontal="right" vertical="center"/>
      <protection locked="0"/>
    </xf>
    <xf numFmtId="38" fontId="4" fillId="5" borderId="33" xfId="1" applyFont="1" applyFill="1" applyBorder="1" applyAlignment="1" applyProtection="1">
      <alignment horizontal="right" vertical="center"/>
      <protection locked="0"/>
    </xf>
    <xf numFmtId="38" fontId="4" fillId="5" borderId="21" xfId="1" applyFont="1" applyFill="1" applyBorder="1" applyAlignment="1" applyProtection="1">
      <alignment horizontal="right" vertical="center"/>
      <protection locked="0"/>
    </xf>
    <xf numFmtId="38" fontId="2" fillId="3" borderId="66" xfId="1" applyFont="1" applyFill="1" applyBorder="1" applyAlignment="1" applyProtection="1">
      <alignment horizontal="center" vertical="center"/>
    </xf>
    <xf numFmtId="38" fontId="2" fillId="3" borderId="67" xfId="1" applyFont="1" applyFill="1" applyBorder="1" applyAlignment="1" applyProtection="1">
      <alignment horizontal="center" vertical="center"/>
    </xf>
    <xf numFmtId="49" fontId="4" fillId="3" borderId="66" xfId="1" applyNumberFormat="1" applyFont="1" applyFill="1" applyBorder="1" applyAlignment="1" applyProtection="1">
      <alignment horizontal="center" vertical="center"/>
    </xf>
    <xf numFmtId="49" fontId="2" fillId="3" borderId="67" xfId="1" quotePrefix="1" applyNumberFormat="1" applyFont="1" applyFill="1" applyBorder="1" applyAlignment="1" applyProtection="1">
      <alignment horizontal="center" vertical="center"/>
    </xf>
    <xf numFmtId="38" fontId="4" fillId="2" borderId="42" xfId="1" applyFont="1" applyFill="1" applyBorder="1" applyAlignment="1" applyProtection="1">
      <alignment vertical="center"/>
    </xf>
    <xf numFmtId="38" fontId="4" fillId="2" borderId="31" xfId="1" applyFont="1" applyFill="1" applyBorder="1" applyAlignment="1" applyProtection="1">
      <alignment vertical="center"/>
    </xf>
    <xf numFmtId="38" fontId="4" fillId="2" borderId="20" xfId="1" applyFont="1" applyFill="1" applyBorder="1" applyAlignment="1" applyProtection="1">
      <alignment vertical="center"/>
    </xf>
    <xf numFmtId="38" fontId="4" fillId="2" borderId="15" xfId="1" applyFont="1" applyFill="1" applyBorder="1" applyAlignment="1" applyProtection="1">
      <alignment horizontal="right" vertical="center"/>
      <protection locked="0"/>
    </xf>
    <xf numFmtId="49" fontId="4" fillId="3" borderId="7" xfId="1" applyNumberFormat="1" applyFont="1" applyFill="1" applyBorder="1" applyAlignment="1" applyProtection="1">
      <alignment horizontal="center" vertical="center"/>
    </xf>
    <xf numFmtId="49" fontId="2" fillId="3" borderId="12" xfId="1" quotePrefix="1" applyNumberFormat="1" applyFont="1" applyFill="1" applyBorder="1" applyAlignment="1" applyProtection="1">
      <alignment horizontal="center" vertical="center"/>
    </xf>
    <xf numFmtId="49" fontId="2" fillId="3" borderId="18" xfId="1" quotePrefix="1" applyNumberFormat="1" applyFont="1" applyFill="1" applyBorder="1" applyAlignment="1" applyProtection="1">
      <alignment horizontal="center" vertical="center"/>
    </xf>
    <xf numFmtId="38" fontId="2" fillId="3" borderId="18" xfId="1" applyFont="1" applyFill="1" applyBorder="1" applyAlignment="1" applyProtection="1">
      <alignment horizontal="center" vertical="center"/>
    </xf>
    <xf numFmtId="38" fontId="4" fillId="2" borderId="51" xfId="1" applyFont="1" applyFill="1" applyBorder="1" applyAlignment="1" applyProtection="1">
      <alignment vertical="center"/>
    </xf>
    <xf numFmtId="38" fontId="4" fillId="5" borderId="70" xfId="1" applyFont="1" applyFill="1" applyBorder="1" applyAlignment="1" applyProtection="1">
      <alignment horizontal="right" vertical="center"/>
      <protection locked="0"/>
    </xf>
    <xf numFmtId="38" fontId="4" fillId="5" borderId="71" xfId="1" applyFont="1" applyFill="1" applyBorder="1" applyAlignment="1" applyProtection="1">
      <alignment horizontal="right" vertical="center"/>
      <protection locked="0"/>
    </xf>
    <xf numFmtId="38" fontId="4" fillId="5" borderId="23" xfId="1" applyFont="1" applyFill="1" applyBorder="1" applyAlignment="1" applyProtection="1">
      <alignment horizontal="right" vertical="center"/>
      <protection locked="0"/>
    </xf>
    <xf numFmtId="38" fontId="4" fillId="5" borderId="51" xfId="1" applyFont="1" applyFill="1" applyBorder="1" applyAlignment="1" applyProtection="1">
      <alignment horizontal="right" vertical="center"/>
      <protection locked="0"/>
    </xf>
    <xf numFmtId="38" fontId="4" fillId="4" borderId="18" xfId="1" applyFont="1" applyFill="1" applyBorder="1" applyAlignment="1" applyProtection="1">
      <alignment horizontal="right" vertical="center"/>
      <protection locked="0"/>
    </xf>
    <xf numFmtId="49" fontId="2" fillId="3" borderId="14" xfId="1" quotePrefix="1" applyNumberFormat="1" applyFont="1" applyFill="1" applyBorder="1" applyAlignment="1" applyProtection="1">
      <alignment horizontal="center" vertical="center"/>
    </xf>
    <xf numFmtId="38" fontId="4" fillId="4" borderId="14" xfId="1" applyFont="1" applyFill="1" applyBorder="1" applyAlignment="1" applyProtection="1">
      <alignment horizontal="right" vertical="center"/>
      <protection locked="0"/>
    </xf>
    <xf numFmtId="0" fontId="1" fillId="0" borderId="0" xfId="0" applyFont="1" applyAlignment="1" applyProtection="1"/>
    <xf numFmtId="0" fontId="1" fillId="0" borderId="0" xfId="0" applyFont="1"/>
    <xf numFmtId="2" fontId="1" fillId="0" borderId="0" xfId="0" applyNumberFormat="1" applyFont="1" applyAlignment="1">
      <alignment horizontal="left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0" fontId="7" fillId="0" borderId="0" xfId="0" applyFont="1" applyAlignment="1" applyProtection="1"/>
    <xf numFmtId="49" fontId="4" fillId="3" borderId="7" xfId="1" applyNumberFormat="1" applyFont="1" applyFill="1" applyBorder="1" applyAlignment="1" applyProtection="1">
      <alignment horizontal="center" vertical="center"/>
    </xf>
    <xf numFmtId="38" fontId="2" fillId="3" borderId="50" xfId="1" applyFont="1" applyFill="1" applyBorder="1" applyAlignment="1" applyProtection="1">
      <alignment horizontal="center" vertical="center" textRotation="255"/>
    </xf>
    <xf numFmtId="38" fontId="2" fillId="3" borderId="51" xfId="1" applyFont="1" applyFill="1" applyBorder="1" applyAlignment="1" applyProtection="1">
      <alignment horizontal="center" vertical="center" textRotation="255"/>
    </xf>
    <xf numFmtId="38" fontId="2" fillId="3" borderId="45" xfId="1" applyFont="1" applyFill="1" applyBorder="1" applyAlignment="1" applyProtection="1">
      <alignment horizontal="center" vertical="center" textRotation="255"/>
    </xf>
    <xf numFmtId="38" fontId="2" fillId="3" borderId="68" xfId="1" applyFont="1" applyFill="1" applyBorder="1" applyAlignment="1" applyProtection="1">
      <alignment horizontal="center" vertical="center" textRotation="255"/>
    </xf>
    <xf numFmtId="38" fontId="2" fillId="3" borderId="10" xfId="1" applyFont="1" applyFill="1" applyBorder="1" applyAlignment="1" applyProtection="1">
      <alignment horizontal="center" vertical="center" textRotation="255"/>
    </xf>
    <xf numFmtId="38" fontId="2" fillId="3" borderId="12" xfId="1" applyFont="1" applyFill="1" applyBorder="1" applyAlignment="1" applyProtection="1">
      <alignment horizontal="center" vertical="center" textRotation="255"/>
    </xf>
    <xf numFmtId="38" fontId="2" fillId="3" borderId="57" xfId="1" applyFont="1" applyFill="1" applyBorder="1" applyAlignment="1" applyProtection="1">
      <alignment horizontal="center" vertical="center" textRotation="255"/>
    </xf>
    <xf numFmtId="38" fontId="2" fillId="3" borderId="69" xfId="1" applyFont="1" applyFill="1" applyBorder="1" applyAlignment="1" applyProtection="1">
      <alignment horizontal="center" vertical="center" textRotation="255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29309</xdr:rowOff>
    </xdr:from>
    <xdr:to>
      <xdr:col>24</xdr:col>
      <xdr:colOff>502227</xdr:colOff>
      <xdr:row>3</xdr:row>
      <xdr:rowOff>131884</xdr:rowOff>
    </xdr:to>
    <xdr:sp macro="" textlink="">
      <xdr:nvSpPr>
        <xdr:cNvPr id="14" name="正方形/長方形 13"/>
        <xdr:cNvSpPr/>
      </xdr:nvSpPr>
      <xdr:spPr>
        <a:xfrm>
          <a:off x="3844636" y="29309"/>
          <a:ext cx="9334500" cy="622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75736</xdr:colOff>
      <xdr:row>2</xdr:row>
      <xdr:rowOff>23572</xdr:rowOff>
    </xdr:from>
    <xdr:to>
      <xdr:col>8</xdr:col>
      <xdr:colOff>30913</xdr:colOff>
      <xdr:row>3</xdr:row>
      <xdr:rowOff>108969</xdr:rowOff>
    </xdr:to>
    <xdr:sp macro="" textlink="">
      <xdr:nvSpPr>
        <xdr:cNvPr id="7" name="テキスト ボックス 6"/>
        <xdr:cNvSpPr txBox="1"/>
      </xdr:nvSpPr>
      <xdr:spPr>
        <a:xfrm>
          <a:off x="3930560" y="359748"/>
          <a:ext cx="549088" cy="253486"/>
        </a:xfrm>
        <a:prstGeom prst="rect">
          <a:avLst/>
        </a:prstGeom>
        <a:solidFill>
          <a:srgbClr val="FFCC66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/>
            <a:t>年月</a:t>
          </a:r>
        </a:p>
      </xdr:txBody>
    </xdr:sp>
    <xdr:clientData/>
  </xdr:twoCellAnchor>
  <xdr:twoCellAnchor>
    <xdr:from>
      <xdr:col>8</xdr:col>
      <xdr:colOff>30913</xdr:colOff>
      <xdr:row>2</xdr:row>
      <xdr:rowOff>23572</xdr:rowOff>
    </xdr:from>
    <xdr:to>
      <xdr:col>9</xdr:col>
      <xdr:colOff>728870</xdr:colOff>
      <xdr:row>3</xdr:row>
      <xdr:rowOff>108969</xdr:rowOff>
    </xdr:to>
    <xdr:sp macro="" textlink="Settings!$B$5">
      <xdr:nvSpPr>
        <xdr:cNvPr id="8" name="テキスト ボックス 7"/>
        <xdr:cNvSpPr txBox="1"/>
      </xdr:nvSpPr>
      <xdr:spPr>
        <a:xfrm>
          <a:off x="4511804" y="371442"/>
          <a:ext cx="847044" cy="259331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43D3FA32-9EAF-4406-AD6C-39D4D2CADAFB}" type="TxLink">
            <a:rPr kumimoji="1" lang="en-US" altLang="en-US" sz="1100" b="0" i="0" u="none" strike="noStrike">
              <a:solidFill>
                <a:srgbClr val="000000"/>
              </a:solidFill>
              <a:latin typeface="ＭＳ Ｐゴシック"/>
              <a:ea typeface="ＭＳ Ｐゴシック"/>
            </a:rPr>
            <a:pPr algn="ctr"/>
            <a:t>2025</a:t>
          </a:fld>
          <a:endParaRPr kumimoji="1" lang="en-US" altLang="ja-JP" sz="1100" b="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319757</xdr:colOff>
      <xdr:row>2</xdr:row>
      <xdr:rowOff>7007</xdr:rowOff>
    </xdr:from>
    <xdr:to>
      <xdr:col>11</xdr:col>
      <xdr:colOff>357222</xdr:colOff>
      <xdr:row>3</xdr:row>
      <xdr:rowOff>92404</xdr:rowOff>
    </xdr:to>
    <xdr:sp macro="" textlink="">
      <xdr:nvSpPr>
        <xdr:cNvPr id="11" name="テキスト ボックス 10"/>
        <xdr:cNvSpPr txBox="1"/>
      </xdr:nvSpPr>
      <xdr:spPr>
        <a:xfrm>
          <a:off x="5753148" y="354877"/>
          <a:ext cx="550987" cy="259331"/>
        </a:xfrm>
        <a:prstGeom prst="rect">
          <a:avLst/>
        </a:prstGeom>
        <a:solidFill>
          <a:srgbClr val="FFCC66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/>
            <a:t>課</a:t>
          </a:r>
        </a:p>
      </xdr:txBody>
    </xdr:sp>
    <xdr:clientData/>
  </xdr:twoCellAnchor>
  <xdr:twoCellAnchor>
    <xdr:from>
      <xdr:col>11</xdr:col>
      <xdr:colOff>357221</xdr:colOff>
      <xdr:row>2</xdr:row>
      <xdr:rowOff>7007</xdr:rowOff>
    </xdr:from>
    <xdr:to>
      <xdr:col>16</xdr:col>
      <xdr:colOff>25346</xdr:colOff>
      <xdr:row>3</xdr:row>
      <xdr:rowOff>92404</xdr:rowOff>
    </xdr:to>
    <xdr:sp macro="" textlink="Settings!$B$7">
      <xdr:nvSpPr>
        <xdr:cNvPr id="12" name="テキスト ボックス 11"/>
        <xdr:cNvSpPr txBox="1"/>
      </xdr:nvSpPr>
      <xdr:spPr>
        <a:xfrm>
          <a:off x="6304134" y="354877"/>
          <a:ext cx="2235734" cy="259331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94ED9520-8412-4937-A593-7F8CD8195A79}" type="TxLink">
            <a:rPr kumimoji="1" lang="en-US" altLang="en-US" sz="1100" b="0" i="0" u="none" strike="noStrike">
              <a:solidFill>
                <a:srgbClr val="000000"/>
              </a:solidFill>
              <a:latin typeface="ＭＳ Ｐゴシック"/>
              <a:ea typeface="ＭＳ Ｐゴシック"/>
            </a:rPr>
            <a:pPr algn="l"/>
            <a:t>13416：ロジスティックス東京</a:t>
          </a:fld>
          <a:endParaRPr kumimoji="1" lang="ja-JP" altLang="en-US" sz="900" b="1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595777</xdr:colOff>
      <xdr:row>0</xdr:row>
      <xdr:rowOff>53672</xdr:rowOff>
    </xdr:from>
    <xdr:to>
      <xdr:col>12</xdr:col>
      <xdr:colOff>223630</xdr:colOff>
      <xdr:row>1</xdr:row>
      <xdr:rowOff>168199</xdr:rowOff>
    </xdr:to>
    <xdr:sp macro="" textlink="Settings!$B$4">
      <xdr:nvSpPr>
        <xdr:cNvPr id="13" name="テキスト ボックス 12"/>
        <xdr:cNvSpPr txBox="1"/>
      </xdr:nvSpPr>
      <xdr:spPr>
        <a:xfrm>
          <a:off x="3859125" y="53672"/>
          <a:ext cx="2824940" cy="2884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E55BE2C8-A371-44E5-9DF3-F0C02EC32D55}" type="TxLink">
            <a:rPr kumimoji="1" lang="ja-JP" altLang="en-US" sz="1600" b="1" i="0" u="none" strike="noStrike">
              <a:solidFill>
                <a:srgbClr val="000000"/>
              </a:solidFill>
              <a:latin typeface="ＭＳ Ｐゴシック"/>
              <a:ea typeface="ＭＳ Ｐゴシック"/>
            </a:rPr>
            <a:pPr algn="l"/>
            <a:t>部門別経費予算</a:t>
          </a:fld>
          <a:endParaRPr kumimoji="1" lang="en-US" altLang="ja-JP" sz="1600" b="1">
            <a:solidFill>
              <a:schemeClr val="tx1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3"/>
  <sheetViews>
    <sheetView showGridLines="0" tabSelected="1" zoomScale="115" zoomScaleNormal="115" workbookViewId="0"/>
  </sheetViews>
  <sheetFormatPr defaultColWidth="9" defaultRowHeight="13.5" x14ac:dyDescent="0.15"/>
  <cols>
    <col min="1" max="3" width="8" style="29" bestFit="1" customWidth="1"/>
    <col min="4" max="4" width="9.375" style="29" bestFit="1" customWidth="1"/>
    <col min="5" max="5" width="9.375" style="29" customWidth="1"/>
    <col min="6" max="6" width="8" style="29" bestFit="1" customWidth="1"/>
    <col min="7" max="7" width="2.25" style="29" customWidth="1"/>
    <col min="8" max="8" width="5.625" style="29" customWidth="1"/>
    <col min="9" max="9" width="2" style="29" customWidth="1"/>
    <col min="10" max="10" width="10.5" style="29" customWidth="1"/>
    <col min="11" max="25" width="6.75" style="29" customWidth="1"/>
    <col min="26" max="16384" width="9" style="29"/>
  </cols>
  <sheetData>
    <row r="1" spans="1:26" x14ac:dyDescent="0.15">
      <c r="G1" s="191"/>
      <c r="J1" s="186"/>
    </row>
    <row r="2" spans="1:26" x14ac:dyDescent="0.15">
      <c r="G2" s="191"/>
      <c r="J2" s="186"/>
    </row>
    <row r="3" spans="1:26" x14ac:dyDescent="0.15">
      <c r="G3" s="186"/>
      <c r="J3" s="186"/>
    </row>
    <row r="4" spans="1:26" x14ac:dyDescent="0.15">
      <c r="G4" s="186"/>
      <c r="J4" s="186"/>
    </row>
    <row r="5" spans="1:26" ht="13.5" customHeight="1" x14ac:dyDescent="0.15">
      <c r="A5" s="116" t="s">
        <v>87</v>
      </c>
      <c r="B5" s="116" t="s">
        <v>88</v>
      </c>
      <c r="C5" s="116" t="s">
        <v>89</v>
      </c>
      <c r="D5" s="116" t="s">
        <v>86</v>
      </c>
      <c r="E5" s="116" t="s">
        <v>90</v>
      </c>
      <c r="F5" s="116" t="s">
        <v>85</v>
      </c>
      <c r="G5" s="192" t="s">
        <v>0</v>
      </c>
      <c r="H5" s="192"/>
      <c r="I5" s="137" t="s">
        <v>1</v>
      </c>
      <c r="J5" s="138" t="s">
        <v>2</v>
      </c>
      <c r="K5" s="138" t="s">
        <v>100</v>
      </c>
      <c r="L5" s="138" t="s">
        <v>3</v>
      </c>
      <c r="M5" s="138" t="s">
        <v>131</v>
      </c>
      <c r="N5" s="138" t="s">
        <v>132</v>
      </c>
      <c r="O5" s="138" t="s">
        <v>133</v>
      </c>
      <c r="P5" s="138" t="s">
        <v>134</v>
      </c>
      <c r="Q5" s="138" t="s">
        <v>135</v>
      </c>
      <c r="R5" s="138" t="s">
        <v>136</v>
      </c>
      <c r="S5" s="138" t="s">
        <v>4</v>
      </c>
      <c r="T5" s="138" t="s">
        <v>137</v>
      </c>
      <c r="U5" s="138" t="s">
        <v>138</v>
      </c>
      <c r="V5" s="138" t="s">
        <v>139</v>
      </c>
      <c r="W5" s="138" t="s">
        <v>140</v>
      </c>
      <c r="X5" s="138" t="s">
        <v>141</v>
      </c>
      <c r="Y5" s="139" t="s">
        <v>142</v>
      </c>
      <c r="Z5" s="39"/>
    </row>
    <row r="6" spans="1:26" ht="13.5" customHeight="1" x14ac:dyDescent="0.15">
      <c r="A6" s="115"/>
      <c r="B6" s="115"/>
      <c r="C6" s="115"/>
      <c r="D6" s="157" t="s">
        <v>84</v>
      </c>
      <c r="E6" s="115"/>
      <c r="F6" s="115" t="s">
        <v>84</v>
      </c>
      <c r="G6" s="199" t="s">
        <v>94</v>
      </c>
      <c r="H6" s="121">
        <v>711000</v>
      </c>
      <c r="I6" s="134" t="s">
        <v>72</v>
      </c>
      <c r="J6" s="135" t="s">
        <v>99</v>
      </c>
      <c r="K6" s="132">
        <f>L6+S6</f>
        <v>0</v>
      </c>
      <c r="L6" s="132">
        <f t="shared" ref="L6:L26" si="0">SUM(M6:R6)</f>
        <v>0</v>
      </c>
      <c r="M6" s="1">
        <f t="shared" ref="M6:R6" si="1">M7+M8</f>
        <v>0</v>
      </c>
      <c r="N6" s="131">
        <f t="shared" si="1"/>
        <v>0</v>
      </c>
      <c r="O6" s="97">
        <f t="shared" si="1"/>
        <v>0</v>
      </c>
      <c r="P6" s="97">
        <f t="shared" si="1"/>
        <v>0</v>
      </c>
      <c r="Q6" s="97">
        <f t="shared" si="1"/>
        <v>0</v>
      </c>
      <c r="R6" s="133">
        <f t="shared" si="1"/>
        <v>0</v>
      </c>
      <c r="S6" s="3">
        <f t="shared" ref="S6:S58" si="2">SUM(T6:Y6)</f>
        <v>0</v>
      </c>
      <c r="T6" s="131">
        <f t="shared" ref="T6:Y6" si="3">T7+T8</f>
        <v>0</v>
      </c>
      <c r="U6" s="97">
        <f t="shared" si="3"/>
        <v>0</v>
      </c>
      <c r="V6" s="97">
        <f t="shared" si="3"/>
        <v>0</v>
      </c>
      <c r="W6" s="97">
        <f t="shared" si="3"/>
        <v>0</v>
      </c>
      <c r="X6" s="97">
        <f t="shared" si="3"/>
        <v>0</v>
      </c>
      <c r="Y6" s="101">
        <f t="shared" si="3"/>
        <v>0</v>
      </c>
    </row>
    <row r="7" spans="1:26" ht="13.5" customHeight="1" x14ac:dyDescent="0.15">
      <c r="A7" s="111"/>
      <c r="B7" s="111" t="s">
        <v>84</v>
      </c>
      <c r="C7" s="111" t="s">
        <v>84</v>
      </c>
      <c r="D7" s="158" t="s">
        <v>84</v>
      </c>
      <c r="E7" s="111" t="s">
        <v>84</v>
      </c>
      <c r="F7" s="111" t="s">
        <v>84</v>
      </c>
      <c r="G7" s="200"/>
      <c r="H7" s="122">
        <v>711000</v>
      </c>
      <c r="I7" s="125" t="s">
        <v>6</v>
      </c>
      <c r="J7" s="127" t="s">
        <v>7</v>
      </c>
      <c r="K7" s="128">
        <f t="shared" ref="K7:K63" si="4">L7+S7</f>
        <v>0</v>
      </c>
      <c r="L7" s="128">
        <f t="shared" si="0"/>
        <v>0</v>
      </c>
      <c r="M7" s="130"/>
      <c r="N7" s="60"/>
      <c r="O7" s="60"/>
      <c r="P7" s="60"/>
      <c r="Q7" s="60"/>
      <c r="R7" s="60"/>
      <c r="S7" s="5">
        <f t="shared" si="2"/>
        <v>0</v>
      </c>
      <c r="T7" s="47"/>
      <c r="U7" s="48"/>
      <c r="V7" s="48"/>
      <c r="W7" s="48"/>
      <c r="X7" s="48"/>
      <c r="Y7" s="54"/>
    </row>
    <row r="8" spans="1:26" ht="13.5" customHeight="1" x14ac:dyDescent="0.15">
      <c r="A8" s="111"/>
      <c r="B8" s="111" t="s">
        <v>84</v>
      </c>
      <c r="C8" s="111" t="s">
        <v>84</v>
      </c>
      <c r="D8" s="158" t="s">
        <v>84</v>
      </c>
      <c r="E8" s="111" t="s">
        <v>84</v>
      </c>
      <c r="F8" s="111" t="s">
        <v>84</v>
      </c>
      <c r="G8" s="200"/>
      <c r="H8" s="122">
        <v>711000</v>
      </c>
      <c r="I8" s="125" t="s">
        <v>8</v>
      </c>
      <c r="J8" s="127" t="s">
        <v>9</v>
      </c>
      <c r="K8" s="128">
        <f t="shared" si="4"/>
        <v>0</v>
      </c>
      <c r="L8" s="128">
        <f t="shared" si="0"/>
        <v>0</v>
      </c>
      <c r="M8" s="130"/>
      <c r="N8" s="60"/>
      <c r="O8" s="60"/>
      <c r="P8" s="60"/>
      <c r="Q8" s="60"/>
      <c r="R8" s="60"/>
      <c r="S8" s="5">
        <f t="shared" si="2"/>
        <v>0</v>
      </c>
      <c r="T8" s="47"/>
      <c r="U8" s="48"/>
      <c r="V8" s="48"/>
      <c r="W8" s="48"/>
      <c r="X8" s="48"/>
      <c r="Y8" s="54"/>
    </row>
    <row r="9" spans="1:26" ht="13.5" customHeight="1" x14ac:dyDescent="0.15">
      <c r="A9" s="111"/>
      <c r="B9" s="111" t="s">
        <v>84</v>
      </c>
      <c r="C9" s="111" t="s">
        <v>84</v>
      </c>
      <c r="D9" s="158" t="s">
        <v>84</v>
      </c>
      <c r="E9" s="111" t="s">
        <v>84</v>
      </c>
      <c r="F9" s="111" t="s">
        <v>84</v>
      </c>
      <c r="G9" s="200"/>
      <c r="H9" s="122">
        <v>712000</v>
      </c>
      <c r="I9" s="125" t="s">
        <v>10</v>
      </c>
      <c r="J9" s="127" t="s">
        <v>11</v>
      </c>
      <c r="K9" s="128">
        <f t="shared" si="4"/>
        <v>0</v>
      </c>
      <c r="L9" s="128">
        <f t="shared" si="0"/>
        <v>0</v>
      </c>
      <c r="M9" s="130"/>
      <c r="N9" s="60"/>
      <c r="O9" s="60"/>
      <c r="P9" s="60"/>
      <c r="Q9" s="60"/>
      <c r="R9" s="60"/>
      <c r="S9" s="5">
        <f t="shared" si="2"/>
        <v>0</v>
      </c>
      <c r="T9" s="47"/>
      <c r="U9" s="48"/>
      <c r="V9" s="48"/>
      <c r="W9" s="48"/>
      <c r="X9" s="48"/>
      <c r="Y9" s="54"/>
    </row>
    <row r="10" spans="1:26" ht="13.5" customHeight="1" x14ac:dyDescent="0.15">
      <c r="A10" s="111"/>
      <c r="B10" s="111" t="s">
        <v>84</v>
      </c>
      <c r="C10" s="111" t="s">
        <v>84</v>
      </c>
      <c r="D10" s="158" t="s">
        <v>84</v>
      </c>
      <c r="E10" s="111" t="s">
        <v>84</v>
      </c>
      <c r="F10" s="111" t="s">
        <v>84</v>
      </c>
      <c r="G10" s="200"/>
      <c r="H10" s="122" t="s">
        <v>73</v>
      </c>
      <c r="I10" s="125" t="s">
        <v>5</v>
      </c>
      <c r="J10" s="127" t="s">
        <v>12</v>
      </c>
      <c r="K10" s="128">
        <f t="shared" si="4"/>
        <v>0</v>
      </c>
      <c r="L10" s="128">
        <f t="shared" si="0"/>
        <v>0</v>
      </c>
      <c r="M10" s="130"/>
      <c r="N10" s="60"/>
      <c r="O10" s="60"/>
      <c r="P10" s="60"/>
      <c r="Q10" s="60"/>
      <c r="R10" s="60"/>
      <c r="S10" s="5">
        <f t="shared" si="2"/>
        <v>0</v>
      </c>
      <c r="T10" s="47"/>
      <c r="U10" s="48"/>
      <c r="V10" s="48"/>
      <c r="W10" s="48"/>
      <c r="X10" s="48"/>
      <c r="Y10" s="54"/>
    </row>
    <row r="11" spans="1:26" ht="13.5" customHeight="1" x14ac:dyDescent="0.15">
      <c r="A11" s="111"/>
      <c r="B11" s="111" t="s">
        <v>84</v>
      </c>
      <c r="C11" s="111" t="s">
        <v>84</v>
      </c>
      <c r="D11" s="158" t="s">
        <v>84</v>
      </c>
      <c r="E11" s="111" t="s">
        <v>84</v>
      </c>
      <c r="F11" s="111" t="s">
        <v>84</v>
      </c>
      <c r="G11" s="200"/>
      <c r="H11" s="122">
        <v>714000</v>
      </c>
      <c r="I11" s="125" t="s">
        <v>5</v>
      </c>
      <c r="J11" s="127" t="s">
        <v>13</v>
      </c>
      <c r="K11" s="128">
        <f t="shared" si="4"/>
        <v>0</v>
      </c>
      <c r="L11" s="128">
        <f t="shared" si="0"/>
        <v>0</v>
      </c>
      <c r="M11" s="130"/>
      <c r="N11" s="60"/>
      <c r="O11" s="60"/>
      <c r="P11" s="60"/>
      <c r="Q11" s="60"/>
      <c r="R11" s="60"/>
      <c r="S11" s="5">
        <f t="shared" si="2"/>
        <v>0</v>
      </c>
      <c r="T11" s="47"/>
      <c r="U11" s="48"/>
      <c r="V11" s="48"/>
      <c r="W11" s="48"/>
      <c r="X11" s="48"/>
      <c r="Y11" s="54"/>
    </row>
    <row r="12" spans="1:26" ht="13.5" customHeight="1" x14ac:dyDescent="0.15">
      <c r="A12" s="111"/>
      <c r="B12" s="111" t="s">
        <v>84</v>
      </c>
      <c r="C12" s="111" t="s">
        <v>84</v>
      </c>
      <c r="D12" s="158" t="s">
        <v>84</v>
      </c>
      <c r="E12" s="111" t="s">
        <v>84</v>
      </c>
      <c r="F12" s="111" t="s">
        <v>84</v>
      </c>
      <c r="G12" s="200"/>
      <c r="H12" s="122">
        <v>715000</v>
      </c>
      <c r="I12" s="125" t="s">
        <v>5</v>
      </c>
      <c r="J12" s="127" t="s">
        <v>14</v>
      </c>
      <c r="K12" s="128">
        <f>L12+S12</f>
        <v>0</v>
      </c>
      <c r="L12" s="128">
        <f t="shared" si="0"/>
        <v>0</v>
      </c>
      <c r="M12" s="130"/>
      <c r="N12" s="60"/>
      <c r="O12" s="60"/>
      <c r="P12" s="60"/>
      <c r="Q12" s="60"/>
      <c r="R12" s="60"/>
      <c r="S12" s="5">
        <f t="shared" si="2"/>
        <v>0</v>
      </c>
      <c r="T12" s="47"/>
      <c r="U12" s="48"/>
      <c r="V12" s="48"/>
      <c r="W12" s="48"/>
      <c r="X12" s="48"/>
      <c r="Y12" s="54"/>
    </row>
    <row r="13" spans="1:26" ht="13.5" customHeight="1" x14ac:dyDescent="0.15">
      <c r="A13" s="111"/>
      <c r="B13" s="111" t="s">
        <v>84</v>
      </c>
      <c r="C13" s="111" t="s">
        <v>84</v>
      </c>
      <c r="D13" s="158" t="s">
        <v>84</v>
      </c>
      <c r="E13" s="111" t="s">
        <v>84</v>
      </c>
      <c r="F13" s="111" t="s">
        <v>84</v>
      </c>
      <c r="G13" s="200"/>
      <c r="H13" s="122">
        <v>716000</v>
      </c>
      <c r="I13" s="125" t="s">
        <v>5</v>
      </c>
      <c r="J13" s="127" t="s">
        <v>15</v>
      </c>
      <c r="K13" s="128">
        <f t="shared" si="4"/>
        <v>0</v>
      </c>
      <c r="L13" s="128">
        <f t="shared" si="0"/>
        <v>0</v>
      </c>
      <c r="M13" s="130"/>
      <c r="N13" s="60"/>
      <c r="O13" s="60"/>
      <c r="P13" s="60"/>
      <c r="Q13" s="60"/>
      <c r="R13" s="60"/>
      <c r="S13" s="5">
        <f t="shared" si="2"/>
        <v>0</v>
      </c>
      <c r="T13" s="47"/>
      <c r="U13" s="48"/>
      <c r="V13" s="48"/>
      <c r="W13" s="48"/>
      <c r="X13" s="48"/>
      <c r="Y13" s="54"/>
    </row>
    <row r="14" spans="1:26" ht="13.5" customHeight="1" x14ac:dyDescent="0.15">
      <c r="A14" s="111"/>
      <c r="B14" s="111" t="s">
        <v>84</v>
      </c>
      <c r="C14" s="111" t="s">
        <v>84</v>
      </c>
      <c r="D14" s="158" t="s">
        <v>84</v>
      </c>
      <c r="E14" s="111" t="s">
        <v>84</v>
      </c>
      <c r="F14" s="111" t="s">
        <v>84</v>
      </c>
      <c r="G14" s="200"/>
      <c r="H14" s="122" t="s">
        <v>125</v>
      </c>
      <c r="I14" s="125" t="s">
        <v>5</v>
      </c>
      <c r="J14" s="127" t="s">
        <v>121</v>
      </c>
      <c r="K14" s="128">
        <f>L14+S14</f>
        <v>0</v>
      </c>
      <c r="L14" s="128">
        <f>SUM(M14:R14)</f>
        <v>0</v>
      </c>
      <c r="M14" s="130"/>
      <c r="N14" s="60"/>
      <c r="O14" s="60"/>
      <c r="P14" s="60"/>
      <c r="Q14" s="60"/>
      <c r="R14" s="60"/>
      <c r="S14" s="5">
        <f>SUM(T14:Y14)</f>
        <v>0</v>
      </c>
      <c r="T14" s="47"/>
      <c r="U14" s="48"/>
      <c r="V14" s="48"/>
      <c r="W14" s="48"/>
      <c r="X14" s="48"/>
      <c r="Y14" s="54"/>
    </row>
    <row r="15" spans="1:26" ht="13.5" customHeight="1" x14ac:dyDescent="0.15">
      <c r="A15" s="111"/>
      <c r="B15" s="111"/>
      <c r="C15" s="111"/>
      <c r="D15" s="158"/>
      <c r="E15" s="111"/>
      <c r="F15" s="111"/>
      <c r="G15" s="200"/>
      <c r="H15" s="168"/>
      <c r="I15" s="169"/>
      <c r="J15" s="32" t="s">
        <v>126</v>
      </c>
      <c r="K15" s="128">
        <f>L15+S15</f>
        <v>0</v>
      </c>
      <c r="L15" s="128">
        <f>SUM(M15:R15)</f>
        <v>0</v>
      </c>
      <c r="M15" s="170">
        <f t="shared" ref="M15:Y15" si="5">M13+M14</f>
        <v>0</v>
      </c>
      <c r="N15" s="171">
        <f t="shared" si="5"/>
        <v>0</v>
      </c>
      <c r="O15" s="171">
        <f t="shared" si="5"/>
        <v>0</v>
      </c>
      <c r="P15" s="171">
        <f t="shared" si="5"/>
        <v>0</v>
      </c>
      <c r="Q15" s="171">
        <f t="shared" si="5"/>
        <v>0</v>
      </c>
      <c r="R15" s="171">
        <f t="shared" si="5"/>
        <v>0</v>
      </c>
      <c r="S15" s="128">
        <f>SUM(T15:Y15)</f>
        <v>0</v>
      </c>
      <c r="T15" s="170">
        <f>T13+T14</f>
        <v>0</v>
      </c>
      <c r="U15" s="171">
        <f t="shared" si="5"/>
        <v>0</v>
      </c>
      <c r="V15" s="171">
        <f t="shared" si="5"/>
        <v>0</v>
      </c>
      <c r="W15" s="171">
        <f t="shared" si="5"/>
        <v>0</v>
      </c>
      <c r="X15" s="171">
        <f t="shared" si="5"/>
        <v>0</v>
      </c>
      <c r="Y15" s="172">
        <f t="shared" si="5"/>
        <v>0</v>
      </c>
    </row>
    <row r="16" spans="1:26" ht="13.5" customHeight="1" x14ac:dyDescent="0.15">
      <c r="A16" s="111" t="s">
        <v>84</v>
      </c>
      <c r="B16" s="111" t="s">
        <v>84</v>
      </c>
      <c r="C16" s="111" t="s">
        <v>84</v>
      </c>
      <c r="D16" s="158" t="s">
        <v>84</v>
      </c>
      <c r="E16" s="111" t="s">
        <v>84</v>
      </c>
      <c r="F16" s="111" t="s">
        <v>84</v>
      </c>
      <c r="G16" s="200"/>
      <c r="H16" s="122">
        <v>717000</v>
      </c>
      <c r="I16" s="125" t="s">
        <v>10</v>
      </c>
      <c r="J16" s="127" t="s">
        <v>118</v>
      </c>
      <c r="K16" s="128">
        <f t="shared" si="4"/>
        <v>0</v>
      </c>
      <c r="L16" s="128">
        <f t="shared" si="0"/>
        <v>0</v>
      </c>
      <c r="M16" s="130"/>
      <c r="N16" s="60"/>
      <c r="O16" s="60"/>
      <c r="P16" s="60"/>
      <c r="Q16" s="60"/>
      <c r="R16" s="60"/>
      <c r="S16" s="5">
        <f t="shared" si="2"/>
        <v>0</v>
      </c>
      <c r="T16" s="47"/>
      <c r="U16" s="48"/>
      <c r="V16" s="48"/>
      <c r="W16" s="48"/>
      <c r="X16" s="48"/>
      <c r="Y16" s="54"/>
    </row>
    <row r="17" spans="1:25" ht="13.5" customHeight="1" x14ac:dyDescent="0.15">
      <c r="A17" s="111" t="s">
        <v>84</v>
      </c>
      <c r="B17" s="111" t="s">
        <v>84</v>
      </c>
      <c r="C17" s="111" t="s">
        <v>84</v>
      </c>
      <c r="D17" s="158" t="s">
        <v>84</v>
      </c>
      <c r="E17" s="111" t="s">
        <v>84</v>
      </c>
      <c r="F17" s="111" t="s">
        <v>84</v>
      </c>
      <c r="G17" s="200"/>
      <c r="H17" s="122" t="s">
        <v>117</v>
      </c>
      <c r="I17" s="125" t="s">
        <v>5</v>
      </c>
      <c r="J17" s="127" t="s">
        <v>123</v>
      </c>
      <c r="K17" s="128">
        <f>L17+S17</f>
        <v>0</v>
      </c>
      <c r="L17" s="128">
        <f>SUM(M17:R17)</f>
        <v>0</v>
      </c>
      <c r="M17" s="130"/>
      <c r="N17" s="60"/>
      <c r="O17" s="60"/>
      <c r="P17" s="60"/>
      <c r="Q17" s="60"/>
      <c r="R17" s="60"/>
      <c r="S17" s="5">
        <f>SUM(T17:Y17)</f>
        <v>0</v>
      </c>
      <c r="T17" s="47"/>
      <c r="U17" s="48"/>
      <c r="V17" s="48"/>
      <c r="W17" s="48"/>
      <c r="X17" s="48"/>
      <c r="Y17" s="54"/>
    </row>
    <row r="18" spans="1:25" ht="13.5" customHeight="1" x14ac:dyDescent="0.15">
      <c r="A18" s="111"/>
      <c r="B18" s="111"/>
      <c r="C18" s="111"/>
      <c r="D18" s="158"/>
      <c r="E18" s="111"/>
      <c r="F18" s="111"/>
      <c r="G18" s="200"/>
      <c r="H18" s="166"/>
      <c r="I18" s="167"/>
      <c r="J18" s="32" t="s">
        <v>120</v>
      </c>
      <c r="K18" s="128">
        <f>L18+S18</f>
        <v>0</v>
      </c>
      <c r="L18" s="128">
        <f>SUM(M18:R18)</f>
        <v>0</v>
      </c>
      <c r="M18" s="170">
        <f t="shared" ref="M18:Y18" si="6">M16+M17</f>
        <v>0</v>
      </c>
      <c r="N18" s="171">
        <f t="shared" si="6"/>
        <v>0</v>
      </c>
      <c r="O18" s="171">
        <f t="shared" si="6"/>
        <v>0</v>
      </c>
      <c r="P18" s="171">
        <f t="shared" si="6"/>
        <v>0</v>
      </c>
      <c r="Q18" s="171">
        <f t="shared" si="6"/>
        <v>0</v>
      </c>
      <c r="R18" s="171">
        <f t="shared" si="6"/>
        <v>0</v>
      </c>
      <c r="S18" s="128">
        <f>SUM(T18:Y18)</f>
        <v>0</v>
      </c>
      <c r="T18" s="170">
        <f t="shared" si="6"/>
        <v>0</v>
      </c>
      <c r="U18" s="171">
        <f t="shared" si="6"/>
        <v>0</v>
      </c>
      <c r="V18" s="171">
        <f t="shared" si="6"/>
        <v>0</v>
      </c>
      <c r="W18" s="171">
        <f t="shared" si="6"/>
        <v>0</v>
      </c>
      <c r="X18" s="171">
        <f t="shared" si="6"/>
        <v>0</v>
      </c>
      <c r="Y18" s="172">
        <f t="shared" si="6"/>
        <v>0</v>
      </c>
    </row>
    <row r="19" spans="1:25" ht="13.5" customHeight="1" x14ac:dyDescent="0.15">
      <c r="A19" s="111"/>
      <c r="B19" s="111" t="s">
        <v>84</v>
      </c>
      <c r="C19" s="111" t="s">
        <v>84</v>
      </c>
      <c r="D19" s="158" t="s">
        <v>84</v>
      </c>
      <c r="E19" s="111" t="s">
        <v>84</v>
      </c>
      <c r="F19" s="111" t="s">
        <v>84</v>
      </c>
      <c r="G19" s="200"/>
      <c r="H19" s="122">
        <v>718000</v>
      </c>
      <c r="I19" s="125" t="s">
        <v>5</v>
      </c>
      <c r="J19" s="127" t="s">
        <v>74</v>
      </c>
      <c r="K19" s="128">
        <f t="shared" si="4"/>
        <v>0</v>
      </c>
      <c r="L19" s="128">
        <f t="shared" si="0"/>
        <v>0</v>
      </c>
      <c r="M19" s="130"/>
      <c r="N19" s="60"/>
      <c r="O19" s="60"/>
      <c r="P19" s="60"/>
      <c r="Q19" s="60"/>
      <c r="R19" s="60"/>
      <c r="S19" s="5">
        <f t="shared" si="2"/>
        <v>0</v>
      </c>
      <c r="T19" s="47"/>
      <c r="U19" s="48"/>
      <c r="V19" s="48"/>
      <c r="W19" s="48"/>
      <c r="X19" s="48"/>
      <c r="Y19" s="54"/>
    </row>
    <row r="20" spans="1:25" ht="13.5" customHeight="1" x14ac:dyDescent="0.15">
      <c r="A20" s="111"/>
      <c r="B20" s="111" t="s">
        <v>84</v>
      </c>
      <c r="C20" s="111" t="s">
        <v>84</v>
      </c>
      <c r="D20" s="158" t="s">
        <v>84</v>
      </c>
      <c r="E20" s="111" t="s">
        <v>84</v>
      </c>
      <c r="F20" s="111" t="s">
        <v>84</v>
      </c>
      <c r="G20" s="200"/>
      <c r="H20" s="122">
        <v>719000</v>
      </c>
      <c r="I20" s="125" t="s">
        <v>5</v>
      </c>
      <c r="J20" s="127" t="s">
        <v>119</v>
      </c>
      <c r="K20" s="128">
        <f>L20+S20</f>
        <v>0</v>
      </c>
      <c r="L20" s="128">
        <f>SUM(M20:R20)</f>
        <v>0</v>
      </c>
      <c r="M20" s="130"/>
      <c r="N20" s="60"/>
      <c r="O20" s="60"/>
      <c r="P20" s="60"/>
      <c r="Q20" s="60"/>
      <c r="R20" s="60"/>
      <c r="S20" s="5">
        <f>SUM(T20:Y20)</f>
        <v>0</v>
      </c>
      <c r="T20" s="47"/>
      <c r="U20" s="48"/>
      <c r="V20" s="48"/>
      <c r="W20" s="48"/>
      <c r="X20" s="48"/>
      <c r="Y20" s="54"/>
    </row>
    <row r="21" spans="1:25" ht="13.5" customHeight="1" x14ac:dyDescent="0.15">
      <c r="A21" s="111"/>
      <c r="B21" s="111" t="s">
        <v>84</v>
      </c>
      <c r="C21" s="111" t="s">
        <v>84</v>
      </c>
      <c r="D21" s="158" t="s">
        <v>84</v>
      </c>
      <c r="E21" s="111" t="s">
        <v>84</v>
      </c>
      <c r="F21" s="111" t="s">
        <v>84</v>
      </c>
      <c r="G21" s="200"/>
      <c r="H21" s="122" t="s">
        <v>116</v>
      </c>
      <c r="I21" s="125" t="s">
        <v>5</v>
      </c>
      <c r="J21" s="127" t="s">
        <v>124</v>
      </c>
      <c r="K21" s="128">
        <f>L21+S21</f>
        <v>0</v>
      </c>
      <c r="L21" s="128">
        <f t="shared" si="0"/>
        <v>0</v>
      </c>
      <c r="M21" s="130"/>
      <c r="N21" s="60"/>
      <c r="O21" s="60"/>
      <c r="P21" s="60"/>
      <c r="Q21" s="60"/>
      <c r="R21" s="60"/>
      <c r="S21" s="5">
        <f t="shared" si="2"/>
        <v>0</v>
      </c>
      <c r="T21" s="47"/>
      <c r="U21" s="48"/>
      <c r="V21" s="48"/>
      <c r="W21" s="48"/>
      <c r="X21" s="48"/>
      <c r="Y21" s="54"/>
    </row>
    <row r="22" spans="1:25" ht="13.5" customHeight="1" x14ac:dyDescent="0.15">
      <c r="A22" s="111"/>
      <c r="B22" s="111"/>
      <c r="C22" s="111"/>
      <c r="D22" s="158"/>
      <c r="E22" s="111"/>
      <c r="F22" s="111"/>
      <c r="G22" s="200"/>
      <c r="H22" s="166"/>
      <c r="I22" s="167"/>
      <c r="J22" s="32" t="s">
        <v>122</v>
      </c>
      <c r="K22" s="128">
        <f>L22+S22</f>
        <v>0</v>
      </c>
      <c r="L22" s="128">
        <f>SUM(M22:R22)</f>
        <v>0</v>
      </c>
      <c r="M22" s="170">
        <f t="shared" ref="M22:Y22" si="7">M20+M21</f>
        <v>0</v>
      </c>
      <c r="N22" s="171">
        <f t="shared" si="7"/>
        <v>0</v>
      </c>
      <c r="O22" s="171">
        <f t="shared" si="7"/>
        <v>0</v>
      </c>
      <c r="P22" s="171">
        <f t="shared" si="7"/>
        <v>0</v>
      </c>
      <c r="Q22" s="171">
        <f t="shared" si="7"/>
        <v>0</v>
      </c>
      <c r="R22" s="171">
        <f t="shared" si="7"/>
        <v>0</v>
      </c>
      <c r="S22" s="128">
        <f>SUM(T22:Y22)</f>
        <v>0</v>
      </c>
      <c r="T22" s="170">
        <f t="shared" si="7"/>
        <v>0</v>
      </c>
      <c r="U22" s="171">
        <f t="shared" si="7"/>
        <v>0</v>
      </c>
      <c r="V22" s="171">
        <f t="shared" si="7"/>
        <v>0</v>
      </c>
      <c r="W22" s="171">
        <f t="shared" si="7"/>
        <v>0</v>
      </c>
      <c r="X22" s="171">
        <f t="shared" si="7"/>
        <v>0</v>
      </c>
      <c r="Y22" s="172">
        <f t="shared" si="7"/>
        <v>0</v>
      </c>
    </row>
    <row r="23" spans="1:25" ht="13.5" customHeight="1" x14ac:dyDescent="0.15">
      <c r="A23" s="111"/>
      <c r="B23" s="111" t="s">
        <v>84</v>
      </c>
      <c r="C23" s="111" t="s">
        <v>84</v>
      </c>
      <c r="D23" s="158" t="s">
        <v>84</v>
      </c>
      <c r="E23" s="111" t="s">
        <v>84</v>
      </c>
      <c r="F23" s="111" t="s">
        <v>84</v>
      </c>
      <c r="G23" s="200"/>
      <c r="H23" s="122">
        <v>721000</v>
      </c>
      <c r="I23" s="125" t="s">
        <v>16</v>
      </c>
      <c r="J23" s="127" t="s">
        <v>17</v>
      </c>
      <c r="K23" s="128">
        <f t="shared" si="4"/>
        <v>0</v>
      </c>
      <c r="L23" s="128">
        <f t="shared" si="0"/>
        <v>0</v>
      </c>
      <c r="M23" s="130"/>
      <c r="N23" s="60"/>
      <c r="O23" s="60"/>
      <c r="P23" s="60"/>
      <c r="Q23" s="60"/>
      <c r="R23" s="60"/>
      <c r="S23" s="5">
        <f t="shared" si="2"/>
        <v>0</v>
      </c>
      <c r="T23" s="47"/>
      <c r="U23" s="48"/>
      <c r="V23" s="48"/>
      <c r="W23" s="48"/>
      <c r="X23" s="48"/>
      <c r="Y23" s="54"/>
    </row>
    <row r="24" spans="1:25" ht="13.5" customHeight="1" x14ac:dyDescent="0.15">
      <c r="A24" s="111"/>
      <c r="B24" s="111" t="s">
        <v>84</v>
      </c>
      <c r="C24" s="111" t="s">
        <v>84</v>
      </c>
      <c r="D24" s="158" t="s">
        <v>84</v>
      </c>
      <c r="E24" s="111" t="s">
        <v>84</v>
      </c>
      <c r="F24" s="111" t="s">
        <v>84</v>
      </c>
      <c r="G24" s="200"/>
      <c r="H24" s="122">
        <v>722000</v>
      </c>
      <c r="I24" s="125" t="s">
        <v>5</v>
      </c>
      <c r="J24" s="127" t="s">
        <v>18</v>
      </c>
      <c r="K24" s="128">
        <f t="shared" ref="K24" si="8">L24+S24</f>
        <v>0</v>
      </c>
      <c r="L24" s="128">
        <f t="shared" ref="L24" si="9">SUM(M24:R24)</f>
        <v>0</v>
      </c>
      <c r="M24" s="130"/>
      <c r="N24" s="60"/>
      <c r="O24" s="60"/>
      <c r="P24" s="60"/>
      <c r="Q24" s="60"/>
      <c r="R24" s="60"/>
      <c r="S24" s="5">
        <f t="shared" ref="S24" si="10">SUM(T24:Y24)</f>
        <v>0</v>
      </c>
      <c r="T24" s="47"/>
      <c r="U24" s="48"/>
      <c r="V24" s="48"/>
      <c r="W24" s="48"/>
      <c r="X24" s="48"/>
      <c r="Y24" s="54"/>
    </row>
    <row r="25" spans="1:25" ht="13.5" customHeight="1" x14ac:dyDescent="0.15">
      <c r="A25" s="111"/>
      <c r="B25" s="111" t="s">
        <v>84</v>
      </c>
      <c r="C25" s="111" t="s">
        <v>84</v>
      </c>
      <c r="D25" s="158" t="s">
        <v>84</v>
      </c>
      <c r="E25" s="111" t="s">
        <v>84</v>
      </c>
      <c r="F25" s="111" t="s">
        <v>84</v>
      </c>
      <c r="G25" s="200"/>
      <c r="H25" s="122" t="s">
        <v>127</v>
      </c>
      <c r="I25" s="125" t="s">
        <v>5</v>
      </c>
      <c r="J25" s="127" t="s">
        <v>129</v>
      </c>
      <c r="K25" s="128">
        <f t="shared" si="4"/>
        <v>0</v>
      </c>
      <c r="L25" s="128">
        <f t="shared" si="0"/>
        <v>0</v>
      </c>
      <c r="M25" s="130"/>
      <c r="N25" s="60"/>
      <c r="O25" s="60"/>
      <c r="P25" s="60"/>
      <c r="Q25" s="60"/>
      <c r="R25" s="60"/>
      <c r="S25" s="5">
        <f t="shared" si="2"/>
        <v>0</v>
      </c>
      <c r="T25" s="47"/>
      <c r="U25" s="48"/>
      <c r="V25" s="48"/>
      <c r="W25" s="48"/>
      <c r="X25" s="48"/>
      <c r="Y25" s="54"/>
    </row>
    <row r="26" spans="1:25" ht="13.5" customHeight="1" x14ac:dyDescent="0.15">
      <c r="A26" s="111" t="s">
        <v>84</v>
      </c>
      <c r="B26" s="111" t="s">
        <v>84</v>
      </c>
      <c r="C26" s="111" t="s">
        <v>84</v>
      </c>
      <c r="D26" s="158" t="s">
        <v>84</v>
      </c>
      <c r="E26" s="111" t="s">
        <v>84</v>
      </c>
      <c r="F26" s="111" t="s">
        <v>84</v>
      </c>
      <c r="G26" s="200"/>
      <c r="H26" s="122" t="s">
        <v>128</v>
      </c>
      <c r="I26" s="125" t="s">
        <v>5</v>
      </c>
      <c r="J26" s="127" t="s">
        <v>130</v>
      </c>
      <c r="K26" s="128">
        <f t="shared" si="4"/>
        <v>0</v>
      </c>
      <c r="L26" s="128">
        <f t="shared" si="0"/>
        <v>0</v>
      </c>
      <c r="M26" s="130"/>
      <c r="N26" s="60"/>
      <c r="O26" s="60"/>
      <c r="P26" s="60"/>
      <c r="Q26" s="60"/>
      <c r="R26" s="60"/>
      <c r="S26" s="5">
        <f t="shared" si="2"/>
        <v>0</v>
      </c>
      <c r="T26" s="50"/>
      <c r="U26" s="51"/>
      <c r="V26" s="51"/>
      <c r="W26" s="51"/>
      <c r="X26" s="51"/>
      <c r="Y26" s="59"/>
    </row>
    <row r="27" spans="1:25" ht="13.5" hidden="1" customHeight="1" x14ac:dyDescent="0.15">
      <c r="A27" s="111"/>
      <c r="B27" s="111"/>
      <c r="C27" s="111"/>
      <c r="D27" s="158"/>
      <c r="E27" s="111"/>
      <c r="F27" s="111" t="s">
        <v>84</v>
      </c>
      <c r="G27" s="200"/>
      <c r="H27" s="122" t="s">
        <v>110</v>
      </c>
      <c r="I27" s="125" t="s">
        <v>5</v>
      </c>
      <c r="J27" s="127" t="s">
        <v>111</v>
      </c>
      <c r="K27" s="151"/>
      <c r="L27" s="151"/>
      <c r="M27" s="156">
        <f t="shared" ref="M27:R27" si="11">SUM(M7:M12)+M15+M18+M19+M22+SUM(M23:M26)</f>
        <v>0</v>
      </c>
      <c r="N27" s="156">
        <f t="shared" si="11"/>
        <v>0</v>
      </c>
      <c r="O27" s="156">
        <f t="shared" si="11"/>
        <v>0</v>
      </c>
      <c r="P27" s="156">
        <f t="shared" si="11"/>
        <v>0</v>
      </c>
      <c r="Q27" s="156">
        <f t="shared" si="11"/>
        <v>0</v>
      </c>
      <c r="R27" s="156">
        <f t="shared" si="11"/>
        <v>0</v>
      </c>
      <c r="S27" s="15"/>
      <c r="T27" s="156">
        <f t="shared" ref="T27:Y27" si="12">SUM(T7:T12)+T15+T18+T19+T22+SUM(T23:T26)</f>
        <v>0</v>
      </c>
      <c r="U27" s="156">
        <f t="shared" si="12"/>
        <v>0</v>
      </c>
      <c r="V27" s="156">
        <f t="shared" si="12"/>
        <v>0</v>
      </c>
      <c r="W27" s="156">
        <f t="shared" si="12"/>
        <v>0</v>
      </c>
      <c r="X27" s="156">
        <f t="shared" si="12"/>
        <v>0</v>
      </c>
      <c r="Y27" s="173">
        <f t="shared" si="12"/>
        <v>0</v>
      </c>
    </row>
    <row r="28" spans="1:25" ht="13.5" customHeight="1" x14ac:dyDescent="0.15">
      <c r="A28" s="111"/>
      <c r="B28" s="111"/>
      <c r="C28" s="111"/>
      <c r="D28" s="158"/>
      <c r="E28" s="111"/>
      <c r="F28" s="111"/>
      <c r="G28" s="200"/>
      <c r="H28" s="136"/>
      <c r="I28" s="76"/>
      <c r="J28" s="76" t="s">
        <v>92</v>
      </c>
      <c r="K28" s="7">
        <f>L28+S28</f>
        <v>0</v>
      </c>
      <c r="L28" s="7">
        <f>SUM(M28:R28)</f>
        <v>0</v>
      </c>
      <c r="M28" s="13">
        <f t="shared" ref="M28:R28" si="13">SUM(M7:M12)+M15+M18+M19+M22+SUM(M23:M26)</f>
        <v>0</v>
      </c>
      <c r="N28" s="8">
        <f t="shared" si="13"/>
        <v>0</v>
      </c>
      <c r="O28" s="8">
        <f t="shared" si="13"/>
        <v>0</v>
      </c>
      <c r="P28" s="8">
        <f t="shared" si="13"/>
        <v>0</v>
      </c>
      <c r="Q28" s="8">
        <f t="shared" si="13"/>
        <v>0</v>
      </c>
      <c r="R28" s="16">
        <f t="shared" si="13"/>
        <v>0</v>
      </c>
      <c r="S28" s="7">
        <f>SUM(T28:Y28)</f>
        <v>0</v>
      </c>
      <c r="T28" s="13">
        <f t="shared" ref="T28:Y28" si="14">SUM(T7:T12)+T15+T18+T19+T22+SUM(T23:T26)</f>
        <v>0</v>
      </c>
      <c r="U28" s="8">
        <f t="shared" si="14"/>
        <v>0</v>
      </c>
      <c r="V28" s="8">
        <f t="shared" si="14"/>
        <v>0</v>
      </c>
      <c r="W28" s="8">
        <f t="shared" si="14"/>
        <v>0</v>
      </c>
      <c r="X28" s="8">
        <f t="shared" si="14"/>
        <v>0</v>
      </c>
      <c r="Y28" s="16">
        <f t="shared" si="14"/>
        <v>0</v>
      </c>
    </row>
    <row r="29" spans="1:25" ht="13.5" customHeight="1" x14ac:dyDescent="0.15">
      <c r="A29" s="111"/>
      <c r="B29" s="111"/>
      <c r="C29" s="111" t="s">
        <v>84</v>
      </c>
      <c r="D29" s="158" t="s">
        <v>84</v>
      </c>
      <c r="E29" s="111" t="s">
        <v>84</v>
      </c>
      <c r="F29" s="111" t="s">
        <v>84</v>
      </c>
      <c r="G29" s="196" t="s">
        <v>93</v>
      </c>
      <c r="H29" s="120">
        <v>731000</v>
      </c>
      <c r="I29" s="124" t="s">
        <v>5</v>
      </c>
      <c r="J29" s="126" t="s">
        <v>19</v>
      </c>
      <c r="K29" s="17">
        <f t="shared" si="4"/>
        <v>0</v>
      </c>
      <c r="L29" s="11">
        <f>SUM(M29:R29)</f>
        <v>0</v>
      </c>
      <c r="M29" s="62"/>
      <c r="N29" s="57"/>
      <c r="O29" s="57"/>
      <c r="P29" s="57"/>
      <c r="Q29" s="57"/>
      <c r="R29" s="64"/>
      <c r="S29" s="11">
        <f t="shared" si="2"/>
        <v>0</v>
      </c>
      <c r="T29" s="62"/>
      <c r="U29" s="57"/>
      <c r="V29" s="57"/>
      <c r="W29" s="57"/>
      <c r="X29" s="57"/>
      <c r="Y29" s="82"/>
    </row>
    <row r="30" spans="1:25" ht="13.5" customHeight="1" x14ac:dyDescent="0.15">
      <c r="A30" s="111"/>
      <c r="B30" s="111"/>
      <c r="C30" s="111" t="s">
        <v>84</v>
      </c>
      <c r="D30" s="158" t="s">
        <v>84</v>
      </c>
      <c r="E30" s="111" t="s">
        <v>84</v>
      </c>
      <c r="F30" s="111" t="s">
        <v>84</v>
      </c>
      <c r="G30" s="197"/>
      <c r="H30" s="119">
        <v>732000</v>
      </c>
      <c r="I30" s="88" t="s">
        <v>5</v>
      </c>
      <c r="J30" s="32" t="s">
        <v>20</v>
      </c>
      <c r="K30" s="79">
        <f t="shared" si="4"/>
        <v>0</v>
      </c>
      <c r="L30" s="4">
        <f t="shared" ref="L30:L46" si="15">SUM(M30:R30)</f>
        <v>0</v>
      </c>
      <c r="M30" s="93"/>
      <c r="N30" s="48"/>
      <c r="O30" s="48"/>
      <c r="P30" s="48"/>
      <c r="Q30" s="48"/>
      <c r="R30" s="54"/>
      <c r="S30" s="4">
        <f t="shared" si="2"/>
        <v>0</v>
      </c>
      <c r="T30" s="93"/>
      <c r="U30" s="48"/>
      <c r="V30" s="48"/>
      <c r="W30" s="48"/>
      <c r="X30" s="48"/>
      <c r="Y30" s="78"/>
    </row>
    <row r="31" spans="1:25" ht="13.5" customHeight="1" x14ac:dyDescent="0.15">
      <c r="A31" s="111"/>
      <c r="B31" s="111"/>
      <c r="C31" s="111" t="s">
        <v>84</v>
      </c>
      <c r="D31" s="158" t="s">
        <v>84</v>
      </c>
      <c r="E31" s="111" t="s">
        <v>84</v>
      </c>
      <c r="F31" s="111" t="s">
        <v>84</v>
      </c>
      <c r="G31" s="197"/>
      <c r="H31" s="119">
        <v>733000</v>
      </c>
      <c r="I31" s="88" t="s">
        <v>23</v>
      </c>
      <c r="J31" s="32" t="s">
        <v>75</v>
      </c>
      <c r="K31" s="79">
        <f t="shared" si="4"/>
        <v>0</v>
      </c>
      <c r="L31" s="4">
        <f t="shared" si="15"/>
        <v>0</v>
      </c>
      <c r="M31" s="93"/>
      <c r="N31" s="48"/>
      <c r="O31" s="48"/>
      <c r="P31" s="48"/>
      <c r="Q31" s="48"/>
      <c r="R31" s="54"/>
      <c r="S31" s="4">
        <f t="shared" si="2"/>
        <v>0</v>
      </c>
      <c r="T31" s="93"/>
      <c r="U31" s="48"/>
      <c r="V31" s="48"/>
      <c r="W31" s="48"/>
      <c r="X31" s="48"/>
      <c r="Y31" s="78"/>
    </row>
    <row r="32" spans="1:25" ht="13.5" customHeight="1" x14ac:dyDescent="0.15">
      <c r="A32" s="111"/>
      <c r="B32" s="111"/>
      <c r="C32" s="111" t="s">
        <v>84</v>
      </c>
      <c r="D32" s="158" t="s">
        <v>84</v>
      </c>
      <c r="E32" s="111" t="s">
        <v>84</v>
      </c>
      <c r="F32" s="111" t="s">
        <v>84</v>
      </c>
      <c r="G32" s="197"/>
      <c r="H32" s="119">
        <v>734000</v>
      </c>
      <c r="I32" s="88" t="s">
        <v>5</v>
      </c>
      <c r="J32" s="32" t="s">
        <v>21</v>
      </c>
      <c r="K32" s="79">
        <f t="shared" si="4"/>
        <v>0</v>
      </c>
      <c r="L32" s="4">
        <f t="shared" si="15"/>
        <v>0</v>
      </c>
      <c r="M32" s="93"/>
      <c r="N32" s="48"/>
      <c r="O32" s="48"/>
      <c r="P32" s="48"/>
      <c r="Q32" s="48"/>
      <c r="R32" s="54"/>
      <c r="S32" s="4">
        <f t="shared" si="2"/>
        <v>0</v>
      </c>
      <c r="T32" s="93"/>
      <c r="U32" s="48"/>
      <c r="V32" s="48"/>
      <c r="W32" s="48"/>
      <c r="X32" s="48"/>
      <c r="Y32" s="78"/>
    </row>
    <row r="33" spans="1:25" ht="13.5" customHeight="1" x14ac:dyDescent="0.15">
      <c r="A33" s="111"/>
      <c r="B33" s="111"/>
      <c r="C33" s="111" t="s">
        <v>84</v>
      </c>
      <c r="D33" s="158" t="s">
        <v>84</v>
      </c>
      <c r="E33" s="111" t="s">
        <v>84</v>
      </c>
      <c r="F33" s="111" t="s">
        <v>84</v>
      </c>
      <c r="G33" s="197"/>
      <c r="H33" s="119">
        <v>735000</v>
      </c>
      <c r="I33" s="88" t="s">
        <v>5</v>
      </c>
      <c r="J33" s="32" t="s">
        <v>22</v>
      </c>
      <c r="K33" s="79">
        <f t="shared" si="4"/>
        <v>0</v>
      </c>
      <c r="L33" s="4">
        <f t="shared" si="15"/>
        <v>0</v>
      </c>
      <c r="M33" s="93"/>
      <c r="N33" s="48"/>
      <c r="O33" s="48"/>
      <c r="P33" s="48"/>
      <c r="Q33" s="48"/>
      <c r="R33" s="54"/>
      <c r="S33" s="4">
        <f t="shared" si="2"/>
        <v>0</v>
      </c>
      <c r="T33" s="93"/>
      <c r="U33" s="48"/>
      <c r="V33" s="48"/>
      <c r="W33" s="48"/>
      <c r="X33" s="48"/>
      <c r="Y33" s="78"/>
    </row>
    <row r="34" spans="1:25" ht="13.5" customHeight="1" x14ac:dyDescent="0.15">
      <c r="A34" s="111"/>
      <c r="B34" s="111"/>
      <c r="C34" s="111" t="s">
        <v>84</v>
      </c>
      <c r="D34" s="158" t="s">
        <v>84</v>
      </c>
      <c r="E34" s="111" t="s">
        <v>84</v>
      </c>
      <c r="F34" s="111" t="s">
        <v>84</v>
      </c>
      <c r="G34" s="197"/>
      <c r="H34" s="119">
        <v>736000</v>
      </c>
      <c r="I34" s="88" t="s">
        <v>76</v>
      </c>
      <c r="J34" s="32" t="s">
        <v>77</v>
      </c>
      <c r="K34" s="79">
        <f t="shared" si="4"/>
        <v>0</v>
      </c>
      <c r="L34" s="4">
        <f t="shared" si="15"/>
        <v>0</v>
      </c>
      <c r="M34" s="93"/>
      <c r="N34" s="48"/>
      <c r="O34" s="48"/>
      <c r="P34" s="48"/>
      <c r="Q34" s="48"/>
      <c r="R34" s="54"/>
      <c r="S34" s="4">
        <f t="shared" si="2"/>
        <v>0</v>
      </c>
      <c r="T34" s="93"/>
      <c r="U34" s="48"/>
      <c r="V34" s="48"/>
      <c r="W34" s="48"/>
      <c r="X34" s="48"/>
      <c r="Y34" s="78"/>
    </row>
    <row r="35" spans="1:25" ht="13.5" customHeight="1" x14ac:dyDescent="0.15">
      <c r="A35" s="111"/>
      <c r="B35" s="111"/>
      <c r="C35" s="111" t="s">
        <v>84</v>
      </c>
      <c r="D35" s="158" t="s">
        <v>84</v>
      </c>
      <c r="E35" s="111" t="s">
        <v>84</v>
      </c>
      <c r="F35" s="111" t="s">
        <v>84</v>
      </c>
      <c r="G35" s="197"/>
      <c r="H35" s="119">
        <v>737000</v>
      </c>
      <c r="I35" s="88" t="s">
        <v>5</v>
      </c>
      <c r="J35" s="32" t="s">
        <v>24</v>
      </c>
      <c r="K35" s="79">
        <f t="shared" si="4"/>
        <v>0</v>
      </c>
      <c r="L35" s="4">
        <f t="shared" si="15"/>
        <v>0</v>
      </c>
      <c r="M35" s="93"/>
      <c r="N35" s="48"/>
      <c r="O35" s="48"/>
      <c r="P35" s="48"/>
      <c r="Q35" s="48"/>
      <c r="R35" s="54"/>
      <c r="S35" s="4">
        <f t="shared" si="2"/>
        <v>0</v>
      </c>
      <c r="T35" s="93"/>
      <c r="U35" s="48"/>
      <c r="V35" s="48"/>
      <c r="W35" s="48"/>
      <c r="X35" s="48"/>
      <c r="Y35" s="78"/>
    </row>
    <row r="36" spans="1:25" ht="13.5" customHeight="1" x14ac:dyDescent="0.15">
      <c r="A36" s="111" t="s">
        <v>84</v>
      </c>
      <c r="B36" s="111"/>
      <c r="C36" s="111" t="s">
        <v>84</v>
      </c>
      <c r="D36" s="158" t="s">
        <v>84</v>
      </c>
      <c r="E36" s="111" t="s">
        <v>84</v>
      </c>
      <c r="F36" s="111" t="s">
        <v>84</v>
      </c>
      <c r="G36" s="197"/>
      <c r="H36" s="119">
        <v>738000</v>
      </c>
      <c r="I36" s="88" t="s">
        <v>5</v>
      </c>
      <c r="J36" s="32" t="s">
        <v>25</v>
      </c>
      <c r="K36" s="79">
        <f t="shared" si="4"/>
        <v>0</v>
      </c>
      <c r="L36" s="4">
        <f t="shared" si="15"/>
        <v>0</v>
      </c>
      <c r="M36" s="93"/>
      <c r="N36" s="48"/>
      <c r="O36" s="48"/>
      <c r="P36" s="48"/>
      <c r="Q36" s="48"/>
      <c r="R36" s="54"/>
      <c r="S36" s="4">
        <f t="shared" si="2"/>
        <v>0</v>
      </c>
      <c r="T36" s="93"/>
      <c r="U36" s="48"/>
      <c r="V36" s="48"/>
      <c r="W36" s="48"/>
      <c r="X36" s="48"/>
      <c r="Y36" s="78"/>
    </row>
    <row r="37" spans="1:25" ht="13.5" customHeight="1" x14ac:dyDescent="0.15">
      <c r="A37" s="111"/>
      <c r="B37" s="111"/>
      <c r="C37" s="111" t="s">
        <v>84</v>
      </c>
      <c r="D37" s="158" t="s">
        <v>84</v>
      </c>
      <c r="E37" s="111" t="s">
        <v>84</v>
      </c>
      <c r="F37" s="111" t="s">
        <v>84</v>
      </c>
      <c r="G37" s="197"/>
      <c r="H37" s="119">
        <v>748000</v>
      </c>
      <c r="I37" s="88" t="s">
        <v>26</v>
      </c>
      <c r="J37" s="32" t="s">
        <v>27</v>
      </c>
      <c r="K37" s="79">
        <f t="shared" si="4"/>
        <v>0</v>
      </c>
      <c r="L37" s="4">
        <f t="shared" si="15"/>
        <v>0</v>
      </c>
      <c r="M37" s="93"/>
      <c r="N37" s="48"/>
      <c r="O37" s="48"/>
      <c r="P37" s="48"/>
      <c r="Q37" s="48"/>
      <c r="R37" s="54"/>
      <c r="S37" s="4">
        <f t="shared" si="2"/>
        <v>0</v>
      </c>
      <c r="T37" s="93"/>
      <c r="U37" s="48"/>
      <c r="V37" s="48"/>
      <c r="W37" s="48"/>
      <c r="X37" s="48"/>
      <c r="Y37" s="78"/>
    </row>
    <row r="38" spans="1:25" ht="13.5" customHeight="1" x14ac:dyDescent="0.15">
      <c r="A38" s="111"/>
      <c r="B38" s="111"/>
      <c r="C38" s="111" t="s">
        <v>84</v>
      </c>
      <c r="D38" s="158" t="s">
        <v>84</v>
      </c>
      <c r="E38" s="111" t="s">
        <v>84</v>
      </c>
      <c r="F38" s="111" t="s">
        <v>84</v>
      </c>
      <c r="G38" s="197"/>
      <c r="H38" s="119">
        <v>739000</v>
      </c>
      <c r="I38" s="88" t="s">
        <v>5</v>
      </c>
      <c r="J38" s="32" t="s">
        <v>28</v>
      </c>
      <c r="K38" s="79">
        <f t="shared" si="4"/>
        <v>0</v>
      </c>
      <c r="L38" s="4">
        <f t="shared" si="15"/>
        <v>0</v>
      </c>
      <c r="M38" s="93"/>
      <c r="N38" s="48"/>
      <c r="O38" s="48"/>
      <c r="P38" s="48"/>
      <c r="Q38" s="48"/>
      <c r="R38" s="54"/>
      <c r="S38" s="4">
        <f t="shared" si="2"/>
        <v>0</v>
      </c>
      <c r="T38" s="93"/>
      <c r="U38" s="48"/>
      <c r="V38" s="48"/>
      <c r="W38" s="48"/>
      <c r="X38" s="48"/>
      <c r="Y38" s="78"/>
    </row>
    <row r="39" spans="1:25" ht="13.5" customHeight="1" x14ac:dyDescent="0.15">
      <c r="A39" s="111"/>
      <c r="B39" s="111"/>
      <c r="C39" s="111" t="s">
        <v>84</v>
      </c>
      <c r="D39" s="158" t="s">
        <v>84</v>
      </c>
      <c r="E39" s="111" t="s">
        <v>84</v>
      </c>
      <c r="F39" s="111" t="s">
        <v>84</v>
      </c>
      <c r="G39" s="197"/>
      <c r="H39" s="119">
        <v>741000</v>
      </c>
      <c r="I39" s="88" t="s">
        <v>5</v>
      </c>
      <c r="J39" s="32" t="s">
        <v>29</v>
      </c>
      <c r="K39" s="79">
        <f t="shared" si="4"/>
        <v>0</v>
      </c>
      <c r="L39" s="4">
        <f t="shared" si="15"/>
        <v>0</v>
      </c>
      <c r="M39" s="93"/>
      <c r="N39" s="48"/>
      <c r="O39" s="48"/>
      <c r="P39" s="48"/>
      <c r="Q39" s="48"/>
      <c r="R39" s="54"/>
      <c r="S39" s="4">
        <f t="shared" si="2"/>
        <v>0</v>
      </c>
      <c r="T39" s="93"/>
      <c r="U39" s="48"/>
      <c r="V39" s="48"/>
      <c r="W39" s="48"/>
      <c r="X39" s="48"/>
      <c r="Y39" s="78"/>
    </row>
    <row r="40" spans="1:25" ht="13.5" customHeight="1" x14ac:dyDescent="0.15">
      <c r="A40" s="111" t="s">
        <v>84</v>
      </c>
      <c r="B40" s="111"/>
      <c r="C40" s="111" t="s">
        <v>84</v>
      </c>
      <c r="D40" s="158" t="s">
        <v>84</v>
      </c>
      <c r="E40" s="111" t="s">
        <v>84</v>
      </c>
      <c r="F40" s="111" t="s">
        <v>84</v>
      </c>
      <c r="G40" s="197"/>
      <c r="H40" s="119">
        <v>749100</v>
      </c>
      <c r="I40" s="88" t="s">
        <v>10</v>
      </c>
      <c r="J40" s="32" t="s">
        <v>30</v>
      </c>
      <c r="K40" s="79">
        <f t="shared" si="4"/>
        <v>0</v>
      </c>
      <c r="L40" s="4">
        <f t="shared" si="15"/>
        <v>0</v>
      </c>
      <c r="M40" s="93"/>
      <c r="N40" s="48"/>
      <c r="O40" s="48"/>
      <c r="P40" s="48"/>
      <c r="Q40" s="48"/>
      <c r="R40" s="54"/>
      <c r="S40" s="4">
        <f t="shared" si="2"/>
        <v>0</v>
      </c>
      <c r="T40" s="93"/>
      <c r="U40" s="48"/>
      <c r="V40" s="48"/>
      <c r="W40" s="48"/>
      <c r="X40" s="48"/>
      <c r="Y40" s="78"/>
    </row>
    <row r="41" spans="1:25" ht="13.5" customHeight="1" x14ac:dyDescent="0.15">
      <c r="A41" s="111" t="s">
        <v>84</v>
      </c>
      <c r="B41" s="111"/>
      <c r="C41" s="111" t="s">
        <v>84</v>
      </c>
      <c r="D41" s="158" t="s">
        <v>84</v>
      </c>
      <c r="E41" s="111" t="s">
        <v>84</v>
      </c>
      <c r="F41" s="111" t="s">
        <v>84</v>
      </c>
      <c r="G41" s="197"/>
      <c r="H41" s="119">
        <v>742000</v>
      </c>
      <c r="I41" s="88" t="s">
        <v>5</v>
      </c>
      <c r="J41" s="32" t="s">
        <v>31</v>
      </c>
      <c r="K41" s="79">
        <f t="shared" si="4"/>
        <v>0</v>
      </c>
      <c r="L41" s="4">
        <f t="shared" si="15"/>
        <v>0</v>
      </c>
      <c r="M41" s="93"/>
      <c r="N41" s="48"/>
      <c r="O41" s="48"/>
      <c r="P41" s="48"/>
      <c r="Q41" s="48"/>
      <c r="R41" s="54"/>
      <c r="S41" s="4">
        <f t="shared" si="2"/>
        <v>0</v>
      </c>
      <c r="T41" s="93"/>
      <c r="U41" s="48"/>
      <c r="V41" s="48"/>
      <c r="W41" s="48"/>
      <c r="X41" s="48"/>
      <c r="Y41" s="78"/>
    </row>
    <row r="42" spans="1:25" ht="13.5" customHeight="1" x14ac:dyDescent="0.15">
      <c r="A42" s="111" t="s">
        <v>84</v>
      </c>
      <c r="B42" s="111"/>
      <c r="C42" s="111" t="s">
        <v>84</v>
      </c>
      <c r="D42" s="158" t="s">
        <v>84</v>
      </c>
      <c r="E42" s="111" t="s">
        <v>84</v>
      </c>
      <c r="F42" s="111" t="s">
        <v>84</v>
      </c>
      <c r="G42" s="197"/>
      <c r="H42" s="119">
        <v>743000</v>
      </c>
      <c r="I42" s="88" t="s">
        <v>5</v>
      </c>
      <c r="J42" s="32" t="s">
        <v>32</v>
      </c>
      <c r="K42" s="79">
        <f t="shared" si="4"/>
        <v>0</v>
      </c>
      <c r="L42" s="4">
        <f t="shared" si="15"/>
        <v>0</v>
      </c>
      <c r="M42" s="93"/>
      <c r="N42" s="48"/>
      <c r="O42" s="48"/>
      <c r="P42" s="48"/>
      <c r="Q42" s="48"/>
      <c r="R42" s="54"/>
      <c r="S42" s="4">
        <f t="shared" si="2"/>
        <v>0</v>
      </c>
      <c r="T42" s="93"/>
      <c r="U42" s="48"/>
      <c r="V42" s="48"/>
      <c r="W42" s="48"/>
      <c r="X42" s="48"/>
      <c r="Y42" s="78"/>
    </row>
    <row r="43" spans="1:25" ht="13.5" customHeight="1" x14ac:dyDescent="0.15">
      <c r="A43" s="111" t="s">
        <v>84</v>
      </c>
      <c r="B43" s="111"/>
      <c r="C43" s="111" t="s">
        <v>84</v>
      </c>
      <c r="D43" s="158" t="s">
        <v>84</v>
      </c>
      <c r="E43" s="111" t="s">
        <v>84</v>
      </c>
      <c r="F43" s="111" t="s">
        <v>84</v>
      </c>
      <c r="G43" s="197"/>
      <c r="H43" s="119">
        <v>744000</v>
      </c>
      <c r="I43" s="88" t="s">
        <v>16</v>
      </c>
      <c r="J43" s="32" t="s">
        <v>33</v>
      </c>
      <c r="K43" s="79">
        <f t="shared" si="4"/>
        <v>0</v>
      </c>
      <c r="L43" s="4">
        <f t="shared" si="15"/>
        <v>0</v>
      </c>
      <c r="M43" s="93"/>
      <c r="N43" s="48"/>
      <c r="O43" s="48"/>
      <c r="P43" s="48"/>
      <c r="Q43" s="48"/>
      <c r="R43" s="54"/>
      <c r="S43" s="4">
        <f t="shared" si="2"/>
        <v>0</v>
      </c>
      <c r="T43" s="93"/>
      <c r="U43" s="48"/>
      <c r="V43" s="48"/>
      <c r="W43" s="48"/>
      <c r="X43" s="48"/>
      <c r="Y43" s="78"/>
    </row>
    <row r="44" spans="1:25" ht="13.5" customHeight="1" x14ac:dyDescent="0.15">
      <c r="A44" s="111"/>
      <c r="B44" s="111"/>
      <c r="C44" s="111" t="s">
        <v>84</v>
      </c>
      <c r="D44" s="158" t="s">
        <v>84</v>
      </c>
      <c r="E44" s="111" t="s">
        <v>84</v>
      </c>
      <c r="F44" s="111" t="s">
        <v>84</v>
      </c>
      <c r="G44" s="197"/>
      <c r="H44" s="119">
        <v>745000</v>
      </c>
      <c r="I44" s="88" t="s">
        <v>5</v>
      </c>
      <c r="J44" s="32" t="s">
        <v>34</v>
      </c>
      <c r="K44" s="79">
        <f t="shared" si="4"/>
        <v>0</v>
      </c>
      <c r="L44" s="4">
        <f t="shared" si="15"/>
        <v>0</v>
      </c>
      <c r="M44" s="93"/>
      <c r="N44" s="48"/>
      <c r="O44" s="48"/>
      <c r="P44" s="48"/>
      <c r="Q44" s="48"/>
      <c r="R44" s="54"/>
      <c r="S44" s="4">
        <f t="shared" si="2"/>
        <v>0</v>
      </c>
      <c r="T44" s="93"/>
      <c r="U44" s="48"/>
      <c r="V44" s="48"/>
      <c r="W44" s="48"/>
      <c r="X44" s="48"/>
      <c r="Y44" s="78"/>
    </row>
    <row r="45" spans="1:25" ht="13.5" customHeight="1" x14ac:dyDescent="0.15">
      <c r="A45" s="111"/>
      <c r="B45" s="111"/>
      <c r="C45" s="111" t="s">
        <v>84</v>
      </c>
      <c r="D45" s="158" t="s">
        <v>84</v>
      </c>
      <c r="E45" s="111" t="s">
        <v>84</v>
      </c>
      <c r="F45" s="111" t="s">
        <v>84</v>
      </c>
      <c r="G45" s="197"/>
      <c r="H45" s="119">
        <v>746000</v>
      </c>
      <c r="I45" s="88" t="s">
        <v>5</v>
      </c>
      <c r="J45" s="32" t="s">
        <v>35</v>
      </c>
      <c r="K45" s="79">
        <f t="shared" si="4"/>
        <v>0</v>
      </c>
      <c r="L45" s="4">
        <f t="shared" si="15"/>
        <v>0</v>
      </c>
      <c r="M45" s="93"/>
      <c r="N45" s="48"/>
      <c r="O45" s="48"/>
      <c r="P45" s="48"/>
      <c r="Q45" s="48"/>
      <c r="R45" s="54"/>
      <c r="S45" s="4">
        <f t="shared" si="2"/>
        <v>0</v>
      </c>
      <c r="T45" s="93"/>
      <c r="U45" s="48"/>
      <c r="V45" s="48"/>
      <c r="W45" s="48"/>
      <c r="X45" s="48"/>
      <c r="Y45" s="78"/>
    </row>
    <row r="46" spans="1:25" ht="13.5" customHeight="1" x14ac:dyDescent="0.15">
      <c r="A46" s="111"/>
      <c r="B46" s="111"/>
      <c r="C46" s="111" t="s">
        <v>84</v>
      </c>
      <c r="D46" s="158" t="s">
        <v>84</v>
      </c>
      <c r="E46" s="111" t="s">
        <v>84</v>
      </c>
      <c r="F46" s="111" t="s">
        <v>84</v>
      </c>
      <c r="G46" s="197"/>
      <c r="H46" s="123">
        <v>747000</v>
      </c>
      <c r="I46" s="89" t="s">
        <v>5</v>
      </c>
      <c r="J46" s="86" t="s">
        <v>36</v>
      </c>
      <c r="K46" s="73">
        <f t="shared" si="4"/>
        <v>0</v>
      </c>
      <c r="L46" s="12">
        <f t="shared" si="15"/>
        <v>0</v>
      </c>
      <c r="M46" s="94"/>
      <c r="N46" s="98"/>
      <c r="O46" s="98"/>
      <c r="P46" s="98"/>
      <c r="Q46" s="98"/>
      <c r="R46" s="102"/>
      <c r="S46" s="12">
        <f t="shared" si="2"/>
        <v>0</v>
      </c>
      <c r="T46" s="94"/>
      <c r="U46" s="98"/>
      <c r="V46" s="98"/>
      <c r="W46" s="98"/>
      <c r="X46" s="98"/>
      <c r="Y46" s="75"/>
    </row>
    <row r="47" spans="1:25" ht="13.5" hidden="1" customHeight="1" x14ac:dyDescent="0.15">
      <c r="A47" s="111"/>
      <c r="B47" s="111"/>
      <c r="C47" s="111"/>
      <c r="D47" s="158"/>
      <c r="E47" s="111"/>
      <c r="F47" s="111" t="s">
        <v>84</v>
      </c>
      <c r="G47" s="197"/>
      <c r="H47" s="137" t="s">
        <v>112</v>
      </c>
      <c r="I47" s="140" t="s">
        <v>5</v>
      </c>
      <c r="J47" s="152" t="s">
        <v>113</v>
      </c>
      <c r="K47" s="73"/>
      <c r="L47" s="12"/>
      <c r="M47" s="153">
        <f t="shared" ref="M47:R47" si="16">SUM(M29:M46)</f>
        <v>0</v>
      </c>
      <c r="N47" s="154">
        <f t="shared" si="16"/>
        <v>0</v>
      </c>
      <c r="O47" s="154">
        <f t="shared" si="16"/>
        <v>0</v>
      </c>
      <c r="P47" s="154">
        <f t="shared" si="16"/>
        <v>0</v>
      </c>
      <c r="Q47" s="154">
        <f t="shared" si="16"/>
        <v>0</v>
      </c>
      <c r="R47" s="155">
        <f t="shared" si="16"/>
        <v>0</v>
      </c>
      <c r="S47" s="12"/>
      <c r="T47" s="153">
        <f t="shared" ref="T47:Y47" si="17">SUM(T29:T46)</f>
        <v>0</v>
      </c>
      <c r="U47" s="154">
        <f t="shared" si="17"/>
        <v>0</v>
      </c>
      <c r="V47" s="154">
        <f t="shared" si="17"/>
        <v>0</v>
      </c>
      <c r="W47" s="154">
        <f t="shared" si="17"/>
        <v>0</v>
      </c>
      <c r="X47" s="154">
        <f t="shared" si="17"/>
        <v>0</v>
      </c>
      <c r="Y47" s="155">
        <f t="shared" si="17"/>
        <v>0</v>
      </c>
    </row>
    <row r="48" spans="1:25" ht="13.5" customHeight="1" x14ac:dyDescent="0.15">
      <c r="A48" s="111"/>
      <c r="B48" s="111"/>
      <c r="C48" s="111"/>
      <c r="D48" s="158"/>
      <c r="E48" s="111"/>
      <c r="F48" s="111"/>
      <c r="G48" s="198"/>
      <c r="H48" s="72"/>
      <c r="I48" s="72"/>
      <c r="J48" s="30" t="s">
        <v>92</v>
      </c>
      <c r="K48" s="73">
        <f>L48+S48</f>
        <v>0</v>
      </c>
      <c r="L48" s="12">
        <f>SUM(M48:R48)</f>
        <v>0</v>
      </c>
      <c r="M48" s="95">
        <f>SUM(M29:M46)</f>
        <v>0</v>
      </c>
      <c r="N48" s="99">
        <f t="shared" ref="N48:Y48" si="18">SUM(N29:N46)</f>
        <v>0</v>
      </c>
      <c r="O48" s="99">
        <f t="shared" si="18"/>
        <v>0</v>
      </c>
      <c r="P48" s="99">
        <f t="shared" si="18"/>
        <v>0</v>
      </c>
      <c r="Q48" s="99">
        <f t="shared" si="18"/>
        <v>0</v>
      </c>
      <c r="R48" s="103">
        <f t="shared" si="18"/>
        <v>0</v>
      </c>
      <c r="S48" s="12">
        <f>SUM(T48:Y48)</f>
        <v>0</v>
      </c>
      <c r="T48" s="95">
        <f t="shared" si="18"/>
        <v>0</v>
      </c>
      <c r="U48" s="99">
        <f t="shared" si="18"/>
        <v>0</v>
      </c>
      <c r="V48" s="99">
        <f t="shared" si="18"/>
        <v>0</v>
      </c>
      <c r="W48" s="99">
        <f t="shared" si="18"/>
        <v>0</v>
      </c>
      <c r="X48" s="99">
        <f t="shared" si="18"/>
        <v>0</v>
      </c>
      <c r="Y48" s="73">
        <f t="shared" si="18"/>
        <v>0</v>
      </c>
    </row>
    <row r="49" spans="1:25" ht="13.5" customHeight="1" x14ac:dyDescent="0.15">
      <c r="A49" s="111"/>
      <c r="B49" s="111"/>
      <c r="C49" s="111"/>
      <c r="D49" s="158" t="s">
        <v>84</v>
      </c>
      <c r="E49" s="111"/>
      <c r="F49" s="111" t="s">
        <v>84</v>
      </c>
      <c r="G49" s="196" t="s">
        <v>95</v>
      </c>
      <c r="H49" s="83" t="s">
        <v>37</v>
      </c>
      <c r="I49" s="87" t="s">
        <v>5</v>
      </c>
      <c r="J49" s="31" t="s">
        <v>38</v>
      </c>
      <c r="K49" s="2">
        <f t="shared" si="4"/>
        <v>0</v>
      </c>
      <c r="L49" s="3">
        <f t="shared" ref="L49:L57" si="19">SUM(M49:R49)</f>
        <v>0</v>
      </c>
      <c r="M49" s="1">
        <f t="shared" ref="M49:R49" si="20">M50+M51</f>
        <v>0</v>
      </c>
      <c r="N49" s="97">
        <f t="shared" si="20"/>
        <v>0</v>
      </c>
      <c r="O49" s="97">
        <f t="shared" si="20"/>
        <v>0</v>
      </c>
      <c r="P49" s="97">
        <f t="shared" si="20"/>
        <v>0</v>
      </c>
      <c r="Q49" s="97">
        <f t="shared" si="20"/>
        <v>0</v>
      </c>
      <c r="R49" s="101">
        <f t="shared" si="20"/>
        <v>0</v>
      </c>
      <c r="S49" s="3">
        <f t="shared" si="2"/>
        <v>0</v>
      </c>
      <c r="T49" s="1">
        <f t="shared" ref="T49:Y49" si="21">T50+T51</f>
        <v>0</v>
      </c>
      <c r="U49" s="97">
        <f t="shared" si="21"/>
        <v>0</v>
      </c>
      <c r="V49" s="97">
        <f t="shared" si="21"/>
        <v>0</v>
      </c>
      <c r="W49" s="97">
        <f t="shared" si="21"/>
        <v>0</v>
      </c>
      <c r="X49" s="97">
        <f t="shared" si="21"/>
        <v>0</v>
      </c>
      <c r="Y49" s="2">
        <f t="shared" si="21"/>
        <v>0</v>
      </c>
    </row>
    <row r="50" spans="1:25" ht="13.5" customHeight="1" x14ac:dyDescent="0.15">
      <c r="A50" s="111" t="s">
        <v>83</v>
      </c>
      <c r="B50" s="111"/>
      <c r="C50" s="111" t="s">
        <v>83</v>
      </c>
      <c r="D50" s="158" t="s">
        <v>84</v>
      </c>
      <c r="E50" s="111" t="s">
        <v>83</v>
      </c>
      <c r="F50" s="111" t="s">
        <v>83</v>
      </c>
      <c r="G50" s="197"/>
      <c r="H50" s="84" t="s">
        <v>37</v>
      </c>
      <c r="I50" s="90" t="s">
        <v>6</v>
      </c>
      <c r="J50" s="32" t="s">
        <v>39</v>
      </c>
      <c r="K50" s="79">
        <f t="shared" si="4"/>
        <v>0</v>
      </c>
      <c r="L50" s="4">
        <f t="shared" si="19"/>
        <v>0</v>
      </c>
      <c r="M50" s="93"/>
      <c r="N50" s="48"/>
      <c r="O50" s="48"/>
      <c r="P50" s="48"/>
      <c r="Q50" s="48"/>
      <c r="R50" s="54"/>
      <c r="S50" s="4">
        <f t="shared" si="2"/>
        <v>0</v>
      </c>
      <c r="T50" s="93"/>
      <c r="U50" s="48"/>
      <c r="V50" s="48"/>
      <c r="W50" s="48"/>
      <c r="X50" s="48"/>
      <c r="Y50" s="78"/>
    </row>
    <row r="51" spans="1:25" ht="13.5" customHeight="1" x14ac:dyDescent="0.15">
      <c r="A51" s="111" t="s">
        <v>83</v>
      </c>
      <c r="B51" s="111"/>
      <c r="C51" s="111" t="s">
        <v>83</v>
      </c>
      <c r="D51" s="158" t="s">
        <v>84</v>
      </c>
      <c r="E51" s="111" t="s">
        <v>83</v>
      </c>
      <c r="F51" s="111" t="s">
        <v>83</v>
      </c>
      <c r="G51" s="197"/>
      <c r="H51" s="84" t="s">
        <v>37</v>
      </c>
      <c r="I51" s="90" t="s">
        <v>78</v>
      </c>
      <c r="J51" s="32" t="s">
        <v>40</v>
      </c>
      <c r="K51" s="79">
        <f t="shared" si="4"/>
        <v>0</v>
      </c>
      <c r="L51" s="4">
        <f t="shared" si="19"/>
        <v>0</v>
      </c>
      <c r="M51" s="93"/>
      <c r="N51" s="48"/>
      <c r="O51" s="48"/>
      <c r="P51" s="48"/>
      <c r="Q51" s="48"/>
      <c r="R51" s="54"/>
      <c r="S51" s="4">
        <f t="shared" si="2"/>
        <v>0</v>
      </c>
      <c r="T51" s="93"/>
      <c r="U51" s="48"/>
      <c r="V51" s="48"/>
      <c r="W51" s="48"/>
      <c r="X51" s="48"/>
      <c r="Y51" s="78"/>
    </row>
    <row r="52" spans="1:25" ht="13.5" customHeight="1" x14ac:dyDescent="0.15">
      <c r="A52" s="111" t="s">
        <v>83</v>
      </c>
      <c r="B52" s="111"/>
      <c r="C52" s="111" t="s">
        <v>83</v>
      </c>
      <c r="D52" s="158" t="s">
        <v>84</v>
      </c>
      <c r="E52" s="111" t="s">
        <v>83</v>
      </c>
      <c r="F52" s="111" t="s">
        <v>83</v>
      </c>
      <c r="G52" s="197"/>
      <c r="H52" s="84">
        <v>752000</v>
      </c>
      <c r="I52" s="88" t="s">
        <v>5</v>
      </c>
      <c r="J52" s="32" t="s">
        <v>41</v>
      </c>
      <c r="K52" s="79">
        <f t="shared" si="4"/>
        <v>0</v>
      </c>
      <c r="L52" s="4">
        <f t="shared" si="19"/>
        <v>0</v>
      </c>
      <c r="M52" s="93"/>
      <c r="N52" s="48"/>
      <c r="O52" s="48"/>
      <c r="P52" s="48"/>
      <c r="Q52" s="48"/>
      <c r="R52" s="54"/>
      <c r="S52" s="4">
        <f t="shared" si="2"/>
        <v>0</v>
      </c>
      <c r="T52" s="93"/>
      <c r="U52" s="48"/>
      <c r="V52" s="48"/>
      <c r="W52" s="48"/>
      <c r="X52" s="48"/>
      <c r="Y52" s="78"/>
    </row>
    <row r="53" spans="1:25" ht="13.5" customHeight="1" x14ac:dyDescent="0.15">
      <c r="A53" s="111"/>
      <c r="B53" s="111"/>
      <c r="C53" s="111" t="s">
        <v>83</v>
      </c>
      <c r="D53" s="158" t="s">
        <v>84</v>
      </c>
      <c r="E53" s="111" t="s">
        <v>83</v>
      </c>
      <c r="F53" s="111" t="s">
        <v>83</v>
      </c>
      <c r="G53" s="197"/>
      <c r="H53" s="84">
        <v>753000</v>
      </c>
      <c r="I53" s="88" t="s">
        <v>5</v>
      </c>
      <c r="J53" s="32" t="s">
        <v>42</v>
      </c>
      <c r="K53" s="79">
        <f t="shared" si="4"/>
        <v>0</v>
      </c>
      <c r="L53" s="4">
        <f t="shared" si="19"/>
        <v>0</v>
      </c>
      <c r="M53" s="93"/>
      <c r="N53" s="48"/>
      <c r="O53" s="48"/>
      <c r="P53" s="48"/>
      <c r="Q53" s="48"/>
      <c r="R53" s="54"/>
      <c r="S53" s="4">
        <f t="shared" si="2"/>
        <v>0</v>
      </c>
      <c r="T53" s="93"/>
      <c r="U53" s="48"/>
      <c r="V53" s="48"/>
      <c r="W53" s="48"/>
      <c r="X53" s="48"/>
      <c r="Y53" s="78"/>
    </row>
    <row r="54" spans="1:25" ht="13.5" customHeight="1" x14ac:dyDescent="0.15">
      <c r="A54" s="111" t="s">
        <v>83</v>
      </c>
      <c r="B54" s="111"/>
      <c r="C54" s="111" t="s">
        <v>83</v>
      </c>
      <c r="D54" s="158" t="s">
        <v>84</v>
      </c>
      <c r="E54" s="111" t="s">
        <v>83</v>
      </c>
      <c r="F54" s="111" t="s">
        <v>83</v>
      </c>
      <c r="G54" s="197"/>
      <c r="H54" s="84">
        <v>754000</v>
      </c>
      <c r="I54" s="88" t="s">
        <v>5</v>
      </c>
      <c r="J54" s="32" t="s">
        <v>43</v>
      </c>
      <c r="K54" s="79">
        <f t="shared" si="4"/>
        <v>0</v>
      </c>
      <c r="L54" s="4">
        <f t="shared" si="19"/>
        <v>0</v>
      </c>
      <c r="M54" s="93"/>
      <c r="N54" s="48"/>
      <c r="O54" s="48"/>
      <c r="P54" s="48"/>
      <c r="Q54" s="48"/>
      <c r="R54" s="54"/>
      <c r="S54" s="4">
        <f t="shared" si="2"/>
        <v>0</v>
      </c>
      <c r="T54" s="93"/>
      <c r="U54" s="48"/>
      <c r="V54" s="48"/>
      <c r="W54" s="48"/>
      <c r="X54" s="48"/>
      <c r="Y54" s="78"/>
    </row>
    <row r="55" spans="1:25" ht="13.5" customHeight="1" x14ac:dyDescent="0.15">
      <c r="A55" s="111" t="s">
        <v>83</v>
      </c>
      <c r="B55" s="111"/>
      <c r="C55" s="111" t="s">
        <v>83</v>
      </c>
      <c r="D55" s="158" t="s">
        <v>84</v>
      </c>
      <c r="E55" s="111" t="s">
        <v>83</v>
      </c>
      <c r="F55" s="111" t="s">
        <v>83</v>
      </c>
      <c r="G55" s="197"/>
      <c r="H55" s="84">
        <v>755000</v>
      </c>
      <c r="I55" s="88" t="s">
        <v>44</v>
      </c>
      <c r="J55" s="32" t="s">
        <v>45</v>
      </c>
      <c r="K55" s="79">
        <f t="shared" si="4"/>
        <v>0</v>
      </c>
      <c r="L55" s="4">
        <f t="shared" si="19"/>
        <v>0</v>
      </c>
      <c r="M55" s="93"/>
      <c r="N55" s="48"/>
      <c r="O55" s="48"/>
      <c r="P55" s="48"/>
      <c r="Q55" s="48"/>
      <c r="R55" s="54"/>
      <c r="S55" s="4">
        <f t="shared" si="2"/>
        <v>0</v>
      </c>
      <c r="T55" s="93"/>
      <c r="U55" s="48"/>
      <c r="V55" s="48"/>
      <c r="W55" s="48"/>
      <c r="X55" s="48"/>
      <c r="Y55" s="78"/>
    </row>
    <row r="56" spans="1:25" ht="13.5" customHeight="1" x14ac:dyDescent="0.15">
      <c r="A56" s="111" t="s">
        <v>83</v>
      </c>
      <c r="B56" s="111"/>
      <c r="C56" s="111" t="s">
        <v>83</v>
      </c>
      <c r="D56" s="158" t="s">
        <v>84</v>
      </c>
      <c r="E56" s="111" t="s">
        <v>83</v>
      </c>
      <c r="F56" s="111" t="s">
        <v>83</v>
      </c>
      <c r="G56" s="197"/>
      <c r="H56" s="84">
        <v>759000</v>
      </c>
      <c r="I56" s="88" t="s">
        <v>5</v>
      </c>
      <c r="J56" s="32" t="s">
        <v>46</v>
      </c>
      <c r="K56" s="79">
        <f t="shared" si="4"/>
        <v>0</v>
      </c>
      <c r="L56" s="4">
        <f t="shared" si="19"/>
        <v>0</v>
      </c>
      <c r="M56" s="93"/>
      <c r="N56" s="48"/>
      <c r="O56" s="48"/>
      <c r="P56" s="48"/>
      <c r="Q56" s="48"/>
      <c r="R56" s="54"/>
      <c r="S56" s="4">
        <f t="shared" si="2"/>
        <v>0</v>
      </c>
      <c r="T56" s="93"/>
      <c r="U56" s="48"/>
      <c r="V56" s="48"/>
      <c r="W56" s="48"/>
      <c r="X56" s="48"/>
      <c r="Y56" s="78"/>
    </row>
    <row r="57" spans="1:25" ht="13.5" customHeight="1" x14ac:dyDescent="0.15">
      <c r="A57" s="111" t="s">
        <v>83</v>
      </c>
      <c r="B57" s="111"/>
      <c r="C57" s="111" t="s">
        <v>83</v>
      </c>
      <c r="D57" s="158" t="s">
        <v>84</v>
      </c>
      <c r="E57" s="111" t="s">
        <v>83</v>
      </c>
      <c r="F57" s="111" t="s">
        <v>83</v>
      </c>
      <c r="G57" s="197"/>
      <c r="H57" s="84">
        <v>758000</v>
      </c>
      <c r="I57" s="88" t="s">
        <v>5</v>
      </c>
      <c r="J57" s="32" t="s">
        <v>47</v>
      </c>
      <c r="K57" s="79">
        <f t="shared" si="4"/>
        <v>0</v>
      </c>
      <c r="L57" s="4">
        <f t="shared" si="19"/>
        <v>0</v>
      </c>
      <c r="M57" s="93"/>
      <c r="N57" s="48"/>
      <c r="O57" s="48"/>
      <c r="P57" s="48"/>
      <c r="Q57" s="48"/>
      <c r="R57" s="54"/>
      <c r="S57" s="4">
        <f t="shared" si="2"/>
        <v>0</v>
      </c>
      <c r="T57" s="93"/>
      <c r="U57" s="48"/>
      <c r="V57" s="48"/>
      <c r="W57" s="48"/>
      <c r="X57" s="48"/>
      <c r="Y57" s="78"/>
    </row>
    <row r="58" spans="1:25" ht="13.5" customHeight="1" x14ac:dyDescent="0.15">
      <c r="A58" s="111"/>
      <c r="B58" s="111"/>
      <c r="C58" s="111" t="s">
        <v>83</v>
      </c>
      <c r="D58" s="158" t="s">
        <v>84</v>
      </c>
      <c r="E58" s="111" t="s">
        <v>83</v>
      </c>
      <c r="F58" s="111" t="s">
        <v>83</v>
      </c>
      <c r="G58" s="197"/>
      <c r="H58" s="22">
        <v>756000</v>
      </c>
      <c r="I58" s="176" t="s">
        <v>5</v>
      </c>
      <c r="J58" s="177" t="s">
        <v>48</v>
      </c>
      <c r="K58" s="18">
        <f t="shared" si="4"/>
        <v>0</v>
      </c>
      <c r="L58" s="15">
        <f>SUM(M58:R58)</f>
        <v>0</v>
      </c>
      <c r="M58" s="150"/>
      <c r="N58" s="117"/>
      <c r="O58" s="117"/>
      <c r="P58" s="117"/>
      <c r="Q58" s="117"/>
      <c r="R58" s="118"/>
      <c r="S58" s="15">
        <f t="shared" si="2"/>
        <v>0</v>
      </c>
      <c r="T58" s="150"/>
      <c r="U58" s="117"/>
      <c r="V58" s="117"/>
      <c r="W58" s="117"/>
      <c r="X58" s="117"/>
      <c r="Y58" s="183"/>
    </row>
    <row r="59" spans="1:25" ht="13.5" hidden="1" customHeight="1" x14ac:dyDescent="0.15">
      <c r="A59" s="111"/>
      <c r="B59" s="111"/>
      <c r="C59" s="111"/>
      <c r="D59" s="158"/>
      <c r="E59" s="111"/>
      <c r="F59" s="111" t="s">
        <v>83</v>
      </c>
      <c r="G59" s="197"/>
      <c r="H59" s="85" t="s">
        <v>114</v>
      </c>
      <c r="I59" s="89" t="s">
        <v>5</v>
      </c>
      <c r="J59" s="86" t="s">
        <v>115</v>
      </c>
      <c r="K59" s="73"/>
      <c r="L59" s="12"/>
      <c r="M59" s="94">
        <f t="shared" ref="M59:R59" si="22">SUM(M50:M58)</f>
        <v>0</v>
      </c>
      <c r="N59" s="98">
        <f t="shared" si="22"/>
        <v>0</v>
      </c>
      <c r="O59" s="98">
        <f t="shared" si="22"/>
        <v>0</v>
      </c>
      <c r="P59" s="98">
        <f t="shared" si="22"/>
        <v>0</v>
      </c>
      <c r="Q59" s="98">
        <f t="shared" si="22"/>
        <v>0</v>
      </c>
      <c r="R59" s="102">
        <f t="shared" si="22"/>
        <v>0</v>
      </c>
      <c r="S59" s="12"/>
      <c r="T59" s="94">
        <f t="shared" ref="T59:Y59" si="23">SUM(T50:T58)</f>
        <v>0</v>
      </c>
      <c r="U59" s="98">
        <f t="shared" si="23"/>
        <v>0</v>
      </c>
      <c r="V59" s="98">
        <f t="shared" si="23"/>
        <v>0</v>
      </c>
      <c r="W59" s="98">
        <f t="shared" si="23"/>
        <v>0</v>
      </c>
      <c r="X59" s="98">
        <f t="shared" si="23"/>
        <v>0</v>
      </c>
      <c r="Y59" s="102">
        <f t="shared" si="23"/>
        <v>0</v>
      </c>
    </row>
    <row r="60" spans="1:25" ht="13.5" customHeight="1" x14ac:dyDescent="0.15">
      <c r="A60" s="111"/>
      <c r="B60" s="111"/>
      <c r="C60" s="111"/>
      <c r="D60" s="158"/>
      <c r="E60" s="111"/>
      <c r="F60" s="111"/>
      <c r="G60" s="197"/>
      <c r="H60" s="72"/>
      <c r="I60" s="72"/>
      <c r="J60" s="86" t="s">
        <v>92</v>
      </c>
      <c r="K60" s="73">
        <f>L60+S60</f>
        <v>0</v>
      </c>
      <c r="L60" s="12">
        <f>SUM(M60:R60)</f>
        <v>0</v>
      </c>
      <c r="M60" s="95">
        <f t="shared" ref="M60:R60" si="24">SUM(M50:M58)</f>
        <v>0</v>
      </c>
      <c r="N60" s="99">
        <f t="shared" si="24"/>
        <v>0</v>
      </c>
      <c r="O60" s="99">
        <f t="shared" si="24"/>
        <v>0</v>
      </c>
      <c r="P60" s="99">
        <f t="shared" si="24"/>
        <v>0</v>
      </c>
      <c r="Q60" s="99">
        <f t="shared" si="24"/>
        <v>0</v>
      </c>
      <c r="R60" s="103">
        <f t="shared" si="24"/>
        <v>0</v>
      </c>
      <c r="S60" s="12">
        <f>SUM(T60:Y60)</f>
        <v>0</v>
      </c>
      <c r="T60" s="95">
        <f t="shared" ref="T60:Y60" si="25">SUM(T50:T58)</f>
        <v>0</v>
      </c>
      <c r="U60" s="99">
        <f t="shared" si="25"/>
        <v>0</v>
      </c>
      <c r="V60" s="99">
        <f t="shared" si="25"/>
        <v>0</v>
      </c>
      <c r="W60" s="99">
        <f t="shared" si="25"/>
        <v>0</v>
      </c>
      <c r="X60" s="99">
        <f t="shared" si="25"/>
        <v>0</v>
      </c>
      <c r="Y60" s="73">
        <f t="shared" si="25"/>
        <v>0</v>
      </c>
    </row>
    <row r="61" spans="1:25" ht="13.5" customHeight="1" x14ac:dyDescent="0.15">
      <c r="A61" s="111"/>
      <c r="B61" s="111"/>
      <c r="C61" s="111" t="s">
        <v>83</v>
      </c>
      <c r="D61" s="158" t="s">
        <v>84</v>
      </c>
      <c r="E61" s="111" t="s">
        <v>83</v>
      </c>
      <c r="F61" s="111" t="s">
        <v>83</v>
      </c>
      <c r="G61" s="198"/>
      <c r="H61" s="85">
        <v>782000</v>
      </c>
      <c r="I61" s="89" t="s">
        <v>5</v>
      </c>
      <c r="J61" s="86" t="s">
        <v>56</v>
      </c>
      <c r="K61" s="73">
        <f t="shared" ref="K61" si="26">L61+S61</f>
        <v>0</v>
      </c>
      <c r="L61" s="12">
        <f t="shared" ref="L61" si="27">SUM(M61:R61)</f>
        <v>0</v>
      </c>
      <c r="M61" s="94"/>
      <c r="N61" s="98"/>
      <c r="O61" s="98"/>
      <c r="P61" s="98"/>
      <c r="Q61" s="98"/>
      <c r="R61" s="102"/>
      <c r="S61" s="12">
        <f t="shared" ref="S61" si="28">SUM(T61:Y61)</f>
        <v>0</v>
      </c>
      <c r="T61" s="94"/>
      <c r="U61" s="98"/>
      <c r="V61" s="98"/>
      <c r="W61" s="98"/>
      <c r="X61" s="98"/>
      <c r="Y61" s="75"/>
    </row>
    <row r="62" spans="1:25" ht="13.5" customHeight="1" x14ac:dyDescent="0.15">
      <c r="A62" s="111"/>
      <c r="B62" s="111"/>
      <c r="C62" s="111"/>
      <c r="D62" s="158"/>
      <c r="E62" s="111"/>
      <c r="F62" s="111"/>
      <c r="G62" s="105"/>
      <c r="H62" s="76"/>
      <c r="I62" s="76"/>
      <c r="J62" s="30" t="s">
        <v>91</v>
      </c>
      <c r="K62" s="14">
        <f>L62+S62</f>
        <v>0</v>
      </c>
      <c r="L62" s="7">
        <f>SUM(M62:R62)</f>
        <v>0</v>
      </c>
      <c r="M62" s="13">
        <f>M28+M48+M60+M61</f>
        <v>0</v>
      </c>
      <c r="N62" s="8">
        <f>N28+N48+N60</f>
        <v>0</v>
      </c>
      <c r="O62" s="8">
        <f>O28+O48+O60</f>
        <v>0</v>
      </c>
      <c r="P62" s="8">
        <f>P28+P48+P60</f>
        <v>0</v>
      </c>
      <c r="Q62" s="8">
        <f>Q28+Q48+Q60</f>
        <v>0</v>
      </c>
      <c r="R62" s="16">
        <f>R28+R48+R60</f>
        <v>0</v>
      </c>
      <c r="S62" s="7">
        <f>SUM(T62:Y62)</f>
        <v>0</v>
      </c>
      <c r="T62" s="13">
        <f t="shared" ref="T62:Y62" si="29">T28+T48+T60</f>
        <v>0</v>
      </c>
      <c r="U62" s="8">
        <f t="shared" si="29"/>
        <v>0</v>
      </c>
      <c r="V62" s="8">
        <f t="shared" si="29"/>
        <v>0</v>
      </c>
      <c r="W62" s="8">
        <f t="shared" si="29"/>
        <v>0</v>
      </c>
      <c r="X62" s="8">
        <f t="shared" si="29"/>
        <v>0</v>
      </c>
      <c r="Y62" s="14">
        <f t="shared" si="29"/>
        <v>0</v>
      </c>
    </row>
    <row r="63" spans="1:25" ht="13.5" customHeight="1" x14ac:dyDescent="0.15">
      <c r="A63" s="111"/>
      <c r="B63" s="111"/>
      <c r="C63" s="111" t="s">
        <v>83</v>
      </c>
      <c r="D63" s="158" t="s">
        <v>84</v>
      </c>
      <c r="E63" s="111" t="s">
        <v>83</v>
      </c>
      <c r="F63" s="111" t="s">
        <v>83</v>
      </c>
      <c r="G63" s="106"/>
      <c r="H63" s="174">
        <v>765000</v>
      </c>
      <c r="I63" s="184" t="s">
        <v>5</v>
      </c>
      <c r="J63" s="30" t="s">
        <v>49</v>
      </c>
      <c r="K63" s="14">
        <f t="shared" si="4"/>
        <v>0</v>
      </c>
      <c r="L63" s="7">
        <f>SUM(M63:R63)</f>
        <v>0</v>
      </c>
      <c r="M63" s="153"/>
      <c r="N63" s="154"/>
      <c r="O63" s="154"/>
      <c r="P63" s="154"/>
      <c r="Q63" s="154"/>
      <c r="R63" s="155"/>
      <c r="S63" s="7">
        <f>SUM(T63:Y63)</f>
        <v>0</v>
      </c>
      <c r="T63" s="153"/>
      <c r="U63" s="154"/>
      <c r="V63" s="154"/>
      <c r="W63" s="154"/>
      <c r="X63" s="154"/>
      <c r="Y63" s="185"/>
    </row>
    <row r="64" spans="1:25" ht="13.5" hidden="1" customHeight="1" x14ac:dyDescent="0.15">
      <c r="A64" s="111"/>
      <c r="B64" s="111"/>
      <c r="C64" s="111"/>
      <c r="D64" s="158"/>
      <c r="E64" s="111"/>
      <c r="F64" s="111" t="s">
        <v>84</v>
      </c>
      <c r="G64" s="106"/>
      <c r="H64" s="92" t="s">
        <v>102</v>
      </c>
      <c r="I64" s="91" t="s">
        <v>5</v>
      </c>
      <c r="J64" s="86" t="s">
        <v>101</v>
      </c>
      <c r="K64" s="73">
        <f>K60+K62</f>
        <v>0</v>
      </c>
      <c r="L64" s="12">
        <f>L60+L62</f>
        <v>0</v>
      </c>
      <c r="M64" s="95">
        <f t="shared" ref="M64:R64" si="30">M62+M63</f>
        <v>0</v>
      </c>
      <c r="N64" s="99">
        <f t="shared" si="30"/>
        <v>0</v>
      </c>
      <c r="O64" s="99">
        <f t="shared" si="30"/>
        <v>0</v>
      </c>
      <c r="P64" s="99">
        <f t="shared" si="30"/>
        <v>0</v>
      </c>
      <c r="Q64" s="99">
        <f t="shared" si="30"/>
        <v>0</v>
      </c>
      <c r="R64" s="103">
        <f t="shared" si="30"/>
        <v>0</v>
      </c>
      <c r="S64" s="12">
        <f>S60+S62</f>
        <v>0</v>
      </c>
      <c r="T64" s="95">
        <f t="shared" ref="T64:Y64" si="31">T62+T63</f>
        <v>0</v>
      </c>
      <c r="U64" s="99">
        <f t="shared" si="31"/>
        <v>0</v>
      </c>
      <c r="V64" s="99">
        <f t="shared" si="31"/>
        <v>0</v>
      </c>
      <c r="W64" s="99">
        <f t="shared" si="31"/>
        <v>0</v>
      </c>
      <c r="X64" s="99">
        <f t="shared" si="31"/>
        <v>0</v>
      </c>
      <c r="Y64" s="103">
        <f t="shared" si="31"/>
        <v>0</v>
      </c>
    </row>
    <row r="65" spans="1:25" ht="13.5" customHeight="1" x14ac:dyDescent="0.15">
      <c r="A65" s="111"/>
      <c r="B65" s="111"/>
      <c r="C65" s="111"/>
      <c r="D65" s="158"/>
      <c r="E65" s="111"/>
      <c r="F65" s="111"/>
      <c r="G65" s="106"/>
      <c r="H65" s="74"/>
      <c r="I65" s="77"/>
      <c r="J65" s="86" t="s">
        <v>50</v>
      </c>
      <c r="K65" s="73">
        <f>L65+S65</f>
        <v>0</v>
      </c>
      <c r="L65" s="12">
        <f>SUM(M65:R65)</f>
        <v>0</v>
      </c>
      <c r="M65" s="95">
        <f t="shared" ref="M65:R65" si="32">M62+M63</f>
        <v>0</v>
      </c>
      <c r="N65" s="99">
        <f t="shared" si="32"/>
        <v>0</v>
      </c>
      <c r="O65" s="99">
        <f t="shared" si="32"/>
        <v>0</v>
      </c>
      <c r="P65" s="99">
        <f t="shared" si="32"/>
        <v>0</v>
      </c>
      <c r="Q65" s="99">
        <f t="shared" si="32"/>
        <v>0</v>
      </c>
      <c r="R65" s="103">
        <f t="shared" si="32"/>
        <v>0</v>
      </c>
      <c r="S65" s="12">
        <f>SUM(T65:Y65)</f>
        <v>0</v>
      </c>
      <c r="T65" s="95">
        <f t="shared" ref="T65:Y65" si="33">T62+T63</f>
        <v>0</v>
      </c>
      <c r="U65" s="99">
        <f t="shared" si="33"/>
        <v>0</v>
      </c>
      <c r="V65" s="99">
        <f t="shared" si="33"/>
        <v>0</v>
      </c>
      <c r="W65" s="99">
        <f t="shared" si="33"/>
        <v>0</v>
      </c>
      <c r="X65" s="99">
        <f t="shared" si="33"/>
        <v>0</v>
      </c>
      <c r="Y65" s="73">
        <f t="shared" si="33"/>
        <v>0</v>
      </c>
    </row>
    <row r="66" spans="1:25" ht="13.5" customHeight="1" x14ac:dyDescent="0.15">
      <c r="A66" s="111"/>
      <c r="B66" s="111"/>
      <c r="C66" s="111"/>
      <c r="D66" s="158" t="s">
        <v>84</v>
      </c>
      <c r="E66" s="111" t="s">
        <v>84</v>
      </c>
      <c r="F66" s="111"/>
      <c r="G66" s="197" t="s">
        <v>96</v>
      </c>
      <c r="H66" s="83">
        <v>761000</v>
      </c>
      <c r="I66" s="87" t="s">
        <v>10</v>
      </c>
      <c r="J66" s="31" t="s">
        <v>51</v>
      </c>
      <c r="K66" s="2">
        <f t="shared" ref="K66:K70" si="34">L66+S66</f>
        <v>0</v>
      </c>
      <c r="L66" s="3">
        <f t="shared" ref="L66:L70" si="35">SUM(M66:R66)</f>
        <v>0</v>
      </c>
      <c r="M66" s="96"/>
      <c r="N66" s="100"/>
      <c r="O66" s="100"/>
      <c r="P66" s="100"/>
      <c r="Q66" s="100"/>
      <c r="R66" s="104"/>
      <c r="S66" s="3">
        <f t="shared" ref="S66:S70" si="36">SUM(T66:Y66)</f>
        <v>0</v>
      </c>
      <c r="T66" s="96"/>
      <c r="U66" s="100"/>
      <c r="V66" s="100"/>
      <c r="W66" s="100"/>
      <c r="X66" s="100"/>
      <c r="Y66" s="80"/>
    </row>
    <row r="67" spans="1:25" ht="13.5" customHeight="1" x14ac:dyDescent="0.15">
      <c r="A67" s="111"/>
      <c r="B67" s="111"/>
      <c r="C67" s="111"/>
      <c r="D67" s="158" t="s">
        <v>84</v>
      </c>
      <c r="E67" s="111" t="s">
        <v>84</v>
      </c>
      <c r="F67" s="111"/>
      <c r="G67" s="197"/>
      <c r="H67" s="84">
        <v>762000</v>
      </c>
      <c r="I67" s="88" t="s">
        <v>10</v>
      </c>
      <c r="J67" s="32" t="s">
        <v>52</v>
      </c>
      <c r="K67" s="79">
        <f t="shared" si="34"/>
        <v>0</v>
      </c>
      <c r="L67" s="4">
        <f t="shared" si="35"/>
        <v>0</v>
      </c>
      <c r="M67" s="65"/>
      <c r="N67" s="66"/>
      <c r="O67" s="66"/>
      <c r="P67" s="66"/>
      <c r="Q67" s="66"/>
      <c r="R67" s="67"/>
      <c r="S67" s="4">
        <f t="shared" si="36"/>
        <v>0</v>
      </c>
      <c r="T67" s="65"/>
      <c r="U67" s="66"/>
      <c r="V67" s="66"/>
      <c r="W67" s="66"/>
      <c r="X67" s="66"/>
      <c r="Y67" s="81"/>
    </row>
    <row r="68" spans="1:25" ht="13.5" customHeight="1" x14ac:dyDescent="0.15">
      <c r="A68" s="111"/>
      <c r="B68" s="111"/>
      <c r="C68" s="111"/>
      <c r="D68" s="158" t="s">
        <v>84</v>
      </c>
      <c r="E68" s="111" t="s">
        <v>84</v>
      </c>
      <c r="F68" s="111"/>
      <c r="G68" s="197"/>
      <c r="H68" s="84">
        <v>763000</v>
      </c>
      <c r="I68" s="88" t="s">
        <v>26</v>
      </c>
      <c r="J68" s="32" t="s">
        <v>53</v>
      </c>
      <c r="K68" s="79">
        <f t="shared" si="34"/>
        <v>0</v>
      </c>
      <c r="L68" s="4">
        <f t="shared" si="35"/>
        <v>0</v>
      </c>
      <c r="M68" s="65"/>
      <c r="N68" s="66"/>
      <c r="O68" s="66"/>
      <c r="P68" s="66"/>
      <c r="Q68" s="66"/>
      <c r="R68" s="67"/>
      <c r="S68" s="4">
        <f t="shared" si="36"/>
        <v>0</v>
      </c>
      <c r="T68" s="65"/>
      <c r="U68" s="66"/>
      <c r="V68" s="66"/>
      <c r="W68" s="66"/>
      <c r="X68" s="66"/>
      <c r="Y68" s="81"/>
    </row>
    <row r="69" spans="1:25" ht="13.5" customHeight="1" x14ac:dyDescent="0.15">
      <c r="A69" s="111"/>
      <c r="B69" s="111"/>
      <c r="C69" s="111"/>
      <c r="D69" s="158" t="s">
        <v>84</v>
      </c>
      <c r="E69" s="111" t="s">
        <v>83</v>
      </c>
      <c r="F69" s="111"/>
      <c r="G69" s="197"/>
      <c r="H69" s="84">
        <v>764000</v>
      </c>
      <c r="I69" s="88" t="s">
        <v>16</v>
      </c>
      <c r="J69" s="32" t="s">
        <v>54</v>
      </c>
      <c r="K69" s="178">
        <f t="shared" si="34"/>
        <v>0</v>
      </c>
      <c r="L69" s="10">
        <f t="shared" si="35"/>
        <v>0</v>
      </c>
      <c r="M69" s="179"/>
      <c r="N69" s="180"/>
      <c r="O69" s="180"/>
      <c r="P69" s="180"/>
      <c r="Q69" s="180"/>
      <c r="R69" s="181"/>
      <c r="S69" s="10">
        <f t="shared" si="36"/>
        <v>0</v>
      </c>
      <c r="T69" s="179"/>
      <c r="U69" s="180"/>
      <c r="V69" s="180"/>
      <c r="W69" s="180"/>
      <c r="X69" s="180"/>
      <c r="Y69" s="182"/>
    </row>
    <row r="70" spans="1:25" ht="13.5" customHeight="1" x14ac:dyDescent="0.15">
      <c r="A70" s="111"/>
      <c r="B70" s="111"/>
      <c r="C70" s="111" t="s">
        <v>83</v>
      </c>
      <c r="D70" s="158" t="s">
        <v>84</v>
      </c>
      <c r="E70" s="111" t="s">
        <v>83</v>
      </c>
      <c r="F70" s="111" t="s">
        <v>83</v>
      </c>
      <c r="G70" s="197"/>
      <c r="H70" s="22">
        <v>781000</v>
      </c>
      <c r="I70" s="176" t="s">
        <v>5</v>
      </c>
      <c r="J70" s="177" t="s">
        <v>55</v>
      </c>
      <c r="K70" s="15">
        <f t="shared" si="34"/>
        <v>0</v>
      </c>
      <c r="L70" s="15">
        <f t="shared" si="35"/>
        <v>0</v>
      </c>
      <c r="M70" s="150"/>
      <c r="N70" s="117"/>
      <c r="O70" s="117"/>
      <c r="P70" s="117"/>
      <c r="Q70" s="117"/>
      <c r="R70" s="118"/>
      <c r="S70" s="15">
        <f t="shared" si="36"/>
        <v>0</v>
      </c>
      <c r="T70" s="150"/>
      <c r="U70" s="117"/>
      <c r="V70" s="117"/>
      <c r="W70" s="117"/>
      <c r="X70" s="117"/>
      <c r="Y70" s="183"/>
    </row>
    <row r="71" spans="1:25" ht="13.5" hidden="1" customHeight="1" x14ac:dyDescent="0.15">
      <c r="A71" s="111"/>
      <c r="B71" s="111"/>
      <c r="C71" s="111"/>
      <c r="D71" s="158"/>
      <c r="E71" s="111"/>
      <c r="F71" s="111" t="s">
        <v>84</v>
      </c>
      <c r="G71" s="106"/>
      <c r="H71" s="77" t="s">
        <v>103</v>
      </c>
      <c r="I71" s="175" t="s">
        <v>5</v>
      </c>
      <c r="J71" s="86" t="s">
        <v>104</v>
      </c>
      <c r="K71" s="73"/>
      <c r="L71" s="12"/>
      <c r="M71" s="141" t="e">
        <f>#REF!+M70+#REF!</f>
        <v>#REF!</v>
      </c>
      <c r="N71" s="142" t="e">
        <f>#REF!+N70+#REF!</f>
        <v>#REF!</v>
      </c>
      <c r="O71" s="142" t="e">
        <f>#REF!+O70+#REF!</f>
        <v>#REF!</v>
      </c>
      <c r="P71" s="142" t="e">
        <f>#REF!+P70+#REF!</f>
        <v>#REF!</v>
      </c>
      <c r="Q71" s="142" t="e">
        <f>#REF!+Q70+#REF!</f>
        <v>#REF!</v>
      </c>
      <c r="R71" s="143" t="e">
        <f>#REF!+R70+#REF!</f>
        <v>#REF!</v>
      </c>
      <c r="S71" s="12"/>
      <c r="T71" s="141" t="e">
        <f>#REF!+T70+#REF!</f>
        <v>#REF!</v>
      </c>
      <c r="U71" s="142" t="e">
        <f>#REF!+U70+#REF!</f>
        <v>#REF!</v>
      </c>
      <c r="V71" s="142" t="e">
        <f>#REF!+V70+#REF!</f>
        <v>#REF!</v>
      </c>
      <c r="W71" s="142" t="e">
        <f>#REF!+W70+#REF!</f>
        <v>#REF!</v>
      </c>
      <c r="X71" s="142" t="e">
        <f>#REF!+X70+#REF!</f>
        <v>#REF!</v>
      </c>
      <c r="Y71" s="143" t="e">
        <f>#REF!+Y70+#REF!</f>
        <v>#REF!</v>
      </c>
    </row>
    <row r="72" spans="1:25" ht="13.5" customHeight="1" x14ac:dyDescent="0.15">
      <c r="A72" s="111"/>
      <c r="B72" s="111"/>
      <c r="C72" s="111"/>
      <c r="D72" s="158"/>
      <c r="E72" s="111"/>
      <c r="F72" s="111"/>
      <c r="G72" s="86"/>
      <c r="H72" s="72"/>
      <c r="I72" s="72"/>
      <c r="J72" s="86" t="s">
        <v>57</v>
      </c>
      <c r="K72" s="73">
        <f>L72+S72</f>
        <v>0</v>
      </c>
      <c r="L72" s="12">
        <f>SUM(M72:R72)</f>
        <v>0</v>
      </c>
      <c r="M72" s="95">
        <f>M65+SUM(M66:M70)</f>
        <v>0</v>
      </c>
      <c r="N72" s="99">
        <f t="shared" ref="N72:R72" si="37">N65+SUM(N66:N70)</f>
        <v>0</v>
      </c>
      <c r="O72" s="99">
        <f t="shared" si="37"/>
        <v>0</v>
      </c>
      <c r="P72" s="99">
        <f t="shared" si="37"/>
        <v>0</v>
      </c>
      <c r="Q72" s="99">
        <f t="shared" si="37"/>
        <v>0</v>
      </c>
      <c r="R72" s="103">
        <f t="shared" si="37"/>
        <v>0</v>
      </c>
      <c r="S72" s="12">
        <f>SUM(T72:Y72)</f>
        <v>0</v>
      </c>
      <c r="T72" s="95">
        <f t="shared" ref="T72:Y72" si="38">T65+SUM(T66:T70)</f>
        <v>0</v>
      </c>
      <c r="U72" s="99">
        <f t="shared" si="38"/>
        <v>0</v>
      </c>
      <c r="V72" s="99">
        <f t="shared" si="38"/>
        <v>0</v>
      </c>
      <c r="W72" s="99">
        <f t="shared" si="38"/>
        <v>0</v>
      </c>
      <c r="X72" s="99">
        <f t="shared" si="38"/>
        <v>0</v>
      </c>
      <c r="Y72" s="73">
        <f t="shared" si="38"/>
        <v>0</v>
      </c>
    </row>
    <row r="73" spans="1:25" ht="13.5" customHeight="1" x14ac:dyDescent="0.15">
      <c r="A73" s="112"/>
      <c r="B73" s="112"/>
      <c r="C73" s="112"/>
      <c r="D73" s="158"/>
      <c r="E73" s="112"/>
      <c r="F73" s="112"/>
      <c r="G73" s="107"/>
      <c r="H73" s="68"/>
      <c r="I73" s="69"/>
      <c r="J73" s="70"/>
      <c r="K73" s="70"/>
      <c r="L73" s="70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</row>
    <row r="74" spans="1:25" ht="13.5" customHeight="1" x14ac:dyDescent="0.15">
      <c r="A74" s="111"/>
      <c r="B74" s="111"/>
      <c r="C74" s="111" t="s">
        <v>83</v>
      </c>
      <c r="D74" s="158" t="s">
        <v>84</v>
      </c>
      <c r="E74" s="111" t="s">
        <v>83</v>
      </c>
      <c r="F74" s="111" t="s">
        <v>83</v>
      </c>
      <c r="G74" s="108"/>
      <c r="H74" s="19">
        <v>680000</v>
      </c>
      <c r="I74" s="24" t="s">
        <v>5</v>
      </c>
      <c r="J74" s="34" t="s">
        <v>58</v>
      </c>
      <c r="K74" s="17">
        <f>L74+S74</f>
        <v>0</v>
      </c>
      <c r="L74" s="11">
        <f>SUM(M74:R74)</f>
        <v>0</v>
      </c>
      <c r="M74" s="62"/>
      <c r="N74" s="56"/>
      <c r="O74" s="56"/>
      <c r="P74" s="56"/>
      <c r="Q74" s="56"/>
      <c r="R74" s="56"/>
      <c r="S74" s="3">
        <f>SUM(T74:Y74)</f>
        <v>0</v>
      </c>
      <c r="T74" s="52"/>
      <c r="U74" s="57"/>
      <c r="V74" s="57"/>
      <c r="W74" s="57"/>
      <c r="X74" s="57"/>
      <c r="Y74" s="64"/>
    </row>
    <row r="75" spans="1:25" ht="13.5" customHeight="1" x14ac:dyDescent="0.15">
      <c r="A75" s="111"/>
      <c r="B75" s="111"/>
      <c r="C75" s="111"/>
      <c r="D75" s="158" t="s">
        <v>84</v>
      </c>
      <c r="E75" s="111" t="s">
        <v>83</v>
      </c>
      <c r="F75" s="111"/>
      <c r="G75" s="109"/>
      <c r="H75" s="23" t="s">
        <v>59</v>
      </c>
      <c r="I75" s="28" t="s">
        <v>5</v>
      </c>
      <c r="J75" s="33" t="s">
        <v>60</v>
      </c>
      <c r="K75" s="18">
        <f>L75+S75</f>
        <v>0</v>
      </c>
      <c r="L75" s="10">
        <f>SUM(M75:R75)</f>
        <v>0</v>
      </c>
      <c r="M75" s="161"/>
      <c r="N75" s="164"/>
      <c r="O75" s="164"/>
      <c r="P75" s="164"/>
      <c r="Q75" s="164"/>
      <c r="R75" s="164"/>
      <c r="S75" s="15">
        <f>SUM(T75:Y75)</f>
        <v>0</v>
      </c>
      <c r="T75" s="164"/>
      <c r="U75" s="162"/>
      <c r="V75" s="162"/>
      <c r="W75" s="162"/>
      <c r="X75" s="162"/>
      <c r="Y75" s="165"/>
    </row>
    <row r="76" spans="1:25" ht="13.5" customHeight="1" x14ac:dyDescent="0.15">
      <c r="A76" s="112"/>
      <c r="B76" s="112"/>
      <c r="C76" s="112"/>
      <c r="D76" s="158"/>
      <c r="E76" s="112"/>
      <c r="F76" s="112"/>
      <c r="G76" s="110"/>
      <c r="H76" s="43"/>
      <c r="I76" s="44"/>
      <c r="J76" s="45"/>
      <c r="K76" s="45"/>
      <c r="L76" s="45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</row>
    <row r="77" spans="1:25" ht="13.5" customHeight="1" x14ac:dyDescent="0.15">
      <c r="A77" s="111"/>
      <c r="B77" s="111"/>
      <c r="C77" s="111" t="s">
        <v>83</v>
      </c>
      <c r="D77" s="158" t="s">
        <v>84</v>
      </c>
      <c r="E77" s="111" t="s">
        <v>83</v>
      </c>
      <c r="F77" s="111" t="s">
        <v>83</v>
      </c>
      <c r="G77" s="193" t="s">
        <v>98</v>
      </c>
      <c r="H77" s="19">
        <v>811000</v>
      </c>
      <c r="I77" s="24" t="s">
        <v>5</v>
      </c>
      <c r="J77" s="35" t="s">
        <v>61</v>
      </c>
      <c r="K77" s="3">
        <f t="shared" ref="K77:K89" si="39">L77+S77</f>
        <v>0</v>
      </c>
      <c r="L77" s="11">
        <f t="shared" ref="L77:L89" si="40">SUM(M77:R77)</f>
        <v>0</v>
      </c>
      <c r="M77" s="62"/>
      <c r="N77" s="57"/>
      <c r="O77" s="57"/>
      <c r="P77" s="57"/>
      <c r="Q77" s="57"/>
      <c r="R77" s="58"/>
      <c r="S77" s="3">
        <f t="shared" ref="S77:S89" si="41">SUM(T77:Y77)</f>
        <v>0</v>
      </c>
      <c r="T77" s="52"/>
      <c r="U77" s="57"/>
      <c r="V77" s="57"/>
      <c r="W77" s="57"/>
      <c r="X77" s="57"/>
      <c r="Y77" s="55"/>
    </row>
    <row r="78" spans="1:25" ht="13.5" customHeight="1" x14ac:dyDescent="0.15">
      <c r="A78" s="111"/>
      <c r="B78" s="111"/>
      <c r="C78" s="111" t="s">
        <v>83</v>
      </c>
      <c r="D78" s="158" t="s">
        <v>84</v>
      </c>
      <c r="E78" s="111" t="s">
        <v>83</v>
      </c>
      <c r="F78" s="111" t="s">
        <v>83</v>
      </c>
      <c r="G78" s="194"/>
      <c r="H78" s="20">
        <v>812000</v>
      </c>
      <c r="I78" s="25" t="s">
        <v>79</v>
      </c>
      <c r="J78" s="36" t="s">
        <v>62</v>
      </c>
      <c r="K78" s="4">
        <f t="shared" si="39"/>
        <v>0</v>
      </c>
      <c r="L78" s="4">
        <f t="shared" si="40"/>
        <v>0</v>
      </c>
      <c r="M78" s="47"/>
      <c r="N78" s="48"/>
      <c r="O78" s="48"/>
      <c r="P78" s="48"/>
      <c r="Q78" s="48"/>
      <c r="R78" s="49"/>
      <c r="S78" s="4">
        <f t="shared" si="41"/>
        <v>0</v>
      </c>
      <c r="T78" s="53"/>
      <c r="U78" s="48"/>
      <c r="V78" s="48"/>
      <c r="W78" s="48"/>
      <c r="X78" s="48"/>
      <c r="Y78" s="54"/>
    </row>
    <row r="79" spans="1:25" ht="13.5" customHeight="1" x14ac:dyDescent="0.15">
      <c r="A79" s="111"/>
      <c r="B79" s="111"/>
      <c r="C79" s="111" t="s">
        <v>83</v>
      </c>
      <c r="D79" s="158" t="s">
        <v>84</v>
      </c>
      <c r="E79" s="111" t="s">
        <v>83</v>
      </c>
      <c r="F79" s="111" t="s">
        <v>83</v>
      </c>
      <c r="G79" s="194"/>
      <c r="H79" s="20">
        <v>813000</v>
      </c>
      <c r="I79" s="25" t="s">
        <v>26</v>
      </c>
      <c r="J79" s="36" t="s">
        <v>63</v>
      </c>
      <c r="K79" s="4">
        <f t="shared" si="39"/>
        <v>0</v>
      </c>
      <c r="L79" s="4">
        <f t="shared" si="40"/>
        <v>0</v>
      </c>
      <c r="M79" s="47"/>
      <c r="N79" s="48"/>
      <c r="O79" s="48"/>
      <c r="P79" s="48"/>
      <c r="Q79" s="48"/>
      <c r="R79" s="58"/>
      <c r="S79" s="4">
        <f t="shared" si="41"/>
        <v>0</v>
      </c>
      <c r="T79" s="53"/>
      <c r="U79" s="57"/>
      <c r="V79" s="57"/>
      <c r="W79" s="57"/>
      <c r="X79" s="57"/>
      <c r="Y79" s="64"/>
    </row>
    <row r="80" spans="1:25" ht="13.5" customHeight="1" x14ac:dyDescent="0.15">
      <c r="A80" s="111"/>
      <c r="B80" s="111"/>
      <c r="C80" s="111" t="s">
        <v>83</v>
      </c>
      <c r="D80" s="158" t="s">
        <v>84</v>
      </c>
      <c r="E80" s="111" t="s">
        <v>83</v>
      </c>
      <c r="F80" s="111" t="s">
        <v>83</v>
      </c>
      <c r="G80" s="194"/>
      <c r="H80" s="21">
        <v>814000</v>
      </c>
      <c r="I80" s="26" t="s">
        <v>10</v>
      </c>
      <c r="J80" s="37" t="s">
        <v>64</v>
      </c>
      <c r="K80" s="5">
        <f t="shared" si="39"/>
        <v>0</v>
      </c>
      <c r="L80" s="5">
        <f t="shared" si="40"/>
        <v>0</v>
      </c>
      <c r="M80" s="47"/>
      <c r="N80" s="51"/>
      <c r="O80" s="51"/>
      <c r="P80" s="51"/>
      <c r="Q80" s="51"/>
      <c r="R80" s="49"/>
      <c r="S80" s="5">
        <f t="shared" si="41"/>
        <v>0</v>
      </c>
      <c r="T80" s="53"/>
      <c r="U80" s="48"/>
      <c r="V80" s="48"/>
      <c r="W80" s="48"/>
      <c r="X80" s="48"/>
      <c r="Y80" s="54"/>
    </row>
    <row r="81" spans="1:25" ht="13.5" customHeight="1" x14ac:dyDescent="0.15">
      <c r="A81" s="111"/>
      <c r="B81" s="111"/>
      <c r="C81" s="111" t="s">
        <v>83</v>
      </c>
      <c r="D81" s="158" t="s">
        <v>84</v>
      </c>
      <c r="E81" s="111" t="s">
        <v>83</v>
      </c>
      <c r="F81" s="111" t="s">
        <v>83</v>
      </c>
      <c r="G81" s="194"/>
      <c r="H81" s="20">
        <v>819000</v>
      </c>
      <c r="I81" s="25" t="s">
        <v>80</v>
      </c>
      <c r="J81" s="33" t="s">
        <v>65</v>
      </c>
      <c r="K81" s="5">
        <f t="shared" si="39"/>
        <v>0</v>
      </c>
      <c r="L81" s="5">
        <f t="shared" si="40"/>
        <v>0</v>
      </c>
      <c r="M81" s="63"/>
      <c r="N81" s="51"/>
      <c r="O81" s="51"/>
      <c r="P81" s="51"/>
      <c r="Q81" s="51"/>
      <c r="R81" s="60"/>
      <c r="S81" s="5">
        <f t="shared" si="41"/>
        <v>0</v>
      </c>
      <c r="T81" s="61"/>
      <c r="U81" s="51"/>
      <c r="V81" s="51"/>
      <c r="W81" s="51"/>
      <c r="X81" s="51"/>
      <c r="Y81" s="59"/>
    </row>
    <row r="82" spans="1:25" ht="13.5" hidden="1" customHeight="1" x14ac:dyDescent="0.15">
      <c r="A82" s="111"/>
      <c r="B82" s="111"/>
      <c r="C82" s="111"/>
      <c r="D82" s="158"/>
      <c r="E82" s="111"/>
      <c r="F82" s="111" t="s">
        <v>83</v>
      </c>
      <c r="G82" s="194"/>
      <c r="H82" s="148" t="s">
        <v>108</v>
      </c>
      <c r="I82" s="147" t="s">
        <v>5</v>
      </c>
      <c r="J82" s="38" t="s">
        <v>105</v>
      </c>
      <c r="K82" s="15"/>
      <c r="L82" s="15"/>
      <c r="M82" s="150">
        <f t="shared" ref="M82:R82" si="42">SUM(M77:M81)</f>
        <v>0</v>
      </c>
      <c r="N82" s="129">
        <f t="shared" si="42"/>
        <v>0</v>
      </c>
      <c r="O82" s="117">
        <f t="shared" si="42"/>
        <v>0</v>
      </c>
      <c r="P82" s="117">
        <f t="shared" si="42"/>
        <v>0</v>
      </c>
      <c r="Q82" s="117">
        <f t="shared" si="42"/>
        <v>0</v>
      </c>
      <c r="R82" s="118">
        <f t="shared" si="42"/>
        <v>0</v>
      </c>
      <c r="S82" s="15"/>
      <c r="T82" s="150">
        <f t="shared" ref="T82:Y82" si="43">SUM(T77:T81)</f>
        <v>0</v>
      </c>
      <c r="U82" s="129">
        <f t="shared" si="43"/>
        <v>0</v>
      </c>
      <c r="V82" s="117">
        <f t="shared" si="43"/>
        <v>0</v>
      </c>
      <c r="W82" s="117">
        <f t="shared" si="43"/>
        <v>0</v>
      </c>
      <c r="X82" s="117">
        <f t="shared" si="43"/>
        <v>0</v>
      </c>
      <c r="Y82" s="118">
        <f t="shared" si="43"/>
        <v>0</v>
      </c>
    </row>
    <row r="83" spans="1:25" ht="13.5" customHeight="1" x14ac:dyDescent="0.15">
      <c r="A83" s="111"/>
      <c r="B83" s="111"/>
      <c r="C83" s="111"/>
      <c r="D83" s="158"/>
      <c r="E83" s="111"/>
      <c r="F83" s="111"/>
      <c r="G83" s="195"/>
      <c r="H83" s="40"/>
      <c r="I83" s="41"/>
      <c r="J83" s="42" t="s">
        <v>92</v>
      </c>
      <c r="K83" s="7">
        <f>L83+S83</f>
        <v>0</v>
      </c>
      <c r="L83" s="7">
        <f>SUM(M83:R83)</f>
        <v>0</v>
      </c>
      <c r="M83" s="13">
        <f t="shared" ref="M83:R83" si="44">SUM(M77:M81)</f>
        <v>0</v>
      </c>
      <c r="N83" s="8">
        <f t="shared" si="44"/>
        <v>0</v>
      </c>
      <c r="O83" s="8">
        <f t="shared" si="44"/>
        <v>0</v>
      </c>
      <c r="P83" s="8">
        <f t="shared" si="44"/>
        <v>0</v>
      </c>
      <c r="Q83" s="8">
        <f t="shared" si="44"/>
        <v>0</v>
      </c>
      <c r="R83" s="9">
        <f t="shared" si="44"/>
        <v>0</v>
      </c>
      <c r="S83" s="7">
        <f>SUM(T83:Y83)</f>
        <v>0</v>
      </c>
      <c r="T83" s="6">
        <f t="shared" ref="T83:Y83" si="45">SUM(T77:T81)</f>
        <v>0</v>
      </c>
      <c r="U83" s="8">
        <f t="shared" si="45"/>
        <v>0</v>
      </c>
      <c r="V83" s="8">
        <f t="shared" si="45"/>
        <v>0</v>
      </c>
      <c r="W83" s="8">
        <f t="shared" si="45"/>
        <v>0</v>
      </c>
      <c r="X83" s="8">
        <f t="shared" si="45"/>
        <v>0</v>
      </c>
      <c r="Y83" s="16">
        <f t="shared" si="45"/>
        <v>0</v>
      </c>
    </row>
    <row r="84" spans="1:25" ht="13.5" customHeight="1" x14ac:dyDescent="0.15">
      <c r="A84" s="111"/>
      <c r="B84" s="111"/>
      <c r="C84" s="111" t="s">
        <v>83</v>
      </c>
      <c r="D84" s="158" t="s">
        <v>84</v>
      </c>
      <c r="E84" s="111" t="s">
        <v>83</v>
      </c>
      <c r="F84" s="111" t="s">
        <v>83</v>
      </c>
      <c r="G84" s="193" t="s">
        <v>97</v>
      </c>
      <c r="H84" s="19">
        <v>821000</v>
      </c>
      <c r="I84" s="24" t="s">
        <v>5</v>
      </c>
      <c r="J84" s="35" t="s">
        <v>66</v>
      </c>
      <c r="K84" s="11">
        <f t="shared" si="39"/>
        <v>0</v>
      </c>
      <c r="L84" s="11">
        <f t="shared" si="40"/>
        <v>0</v>
      </c>
      <c r="M84" s="62"/>
      <c r="N84" s="57"/>
      <c r="O84" s="57"/>
      <c r="P84" s="57"/>
      <c r="Q84" s="57"/>
      <c r="R84" s="58"/>
      <c r="S84" s="11">
        <f t="shared" si="41"/>
        <v>0</v>
      </c>
      <c r="T84" s="52"/>
      <c r="U84" s="57"/>
      <c r="V84" s="57"/>
      <c r="W84" s="57"/>
      <c r="X84" s="57"/>
      <c r="Y84" s="64"/>
    </row>
    <row r="85" spans="1:25" ht="13.5" customHeight="1" x14ac:dyDescent="0.15">
      <c r="A85" s="111"/>
      <c r="B85" s="111"/>
      <c r="C85" s="111" t="s">
        <v>83</v>
      </c>
      <c r="D85" s="158" t="s">
        <v>84</v>
      </c>
      <c r="E85" s="111" t="s">
        <v>83</v>
      </c>
      <c r="F85" s="111" t="s">
        <v>83</v>
      </c>
      <c r="G85" s="194"/>
      <c r="H85" s="20">
        <v>822000</v>
      </c>
      <c r="I85" s="25" t="s">
        <v>81</v>
      </c>
      <c r="J85" s="36" t="s">
        <v>67</v>
      </c>
      <c r="K85" s="4">
        <f t="shared" si="39"/>
        <v>0</v>
      </c>
      <c r="L85" s="4">
        <f t="shared" si="40"/>
        <v>0</v>
      </c>
      <c r="M85" s="47"/>
      <c r="N85" s="48"/>
      <c r="O85" s="48"/>
      <c r="P85" s="48"/>
      <c r="Q85" s="48"/>
      <c r="R85" s="49"/>
      <c r="S85" s="4">
        <f t="shared" si="41"/>
        <v>0</v>
      </c>
      <c r="T85" s="53"/>
      <c r="U85" s="48"/>
      <c r="V85" s="48"/>
      <c r="W85" s="48"/>
      <c r="X85" s="48"/>
      <c r="Y85" s="54"/>
    </row>
    <row r="86" spans="1:25" ht="13.5" customHeight="1" x14ac:dyDescent="0.15">
      <c r="A86" s="111"/>
      <c r="B86" s="111"/>
      <c r="C86" s="111" t="s">
        <v>83</v>
      </c>
      <c r="D86" s="158" t="s">
        <v>84</v>
      </c>
      <c r="E86" s="111" t="s">
        <v>83</v>
      </c>
      <c r="F86" s="111" t="s">
        <v>83</v>
      </c>
      <c r="G86" s="194"/>
      <c r="H86" s="20">
        <v>823000</v>
      </c>
      <c r="I86" s="25" t="s">
        <v>26</v>
      </c>
      <c r="J86" s="36" t="s">
        <v>68</v>
      </c>
      <c r="K86" s="4">
        <f t="shared" si="39"/>
        <v>0</v>
      </c>
      <c r="L86" s="4">
        <f t="shared" si="40"/>
        <v>0</v>
      </c>
      <c r="M86" s="47"/>
      <c r="N86" s="48"/>
      <c r="O86" s="48"/>
      <c r="P86" s="48"/>
      <c r="Q86" s="48"/>
      <c r="R86" s="58"/>
      <c r="S86" s="4">
        <f t="shared" si="41"/>
        <v>0</v>
      </c>
      <c r="T86" s="53"/>
      <c r="U86" s="57"/>
      <c r="V86" s="57"/>
      <c r="W86" s="57"/>
      <c r="X86" s="57"/>
      <c r="Y86" s="64"/>
    </row>
    <row r="87" spans="1:25" ht="13.5" customHeight="1" x14ac:dyDescent="0.15">
      <c r="A87" s="111"/>
      <c r="B87" s="111"/>
      <c r="C87" s="111" t="s">
        <v>83</v>
      </c>
      <c r="D87" s="158" t="s">
        <v>84</v>
      </c>
      <c r="E87" s="111" t="s">
        <v>83</v>
      </c>
      <c r="F87" s="111" t="s">
        <v>83</v>
      </c>
      <c r="G87" s="194"/>
      <c r="H87" s="21">
        <v>825000</v>
      </c>
      <c r="I87" s="26" t="s">
        <v>10</v>
      </c>
      <c r="J87" s="37" t="s">
        <v>69</v>
      </c>
      <c r="K87" s="5">
        <f t="shared" si="39"/>
        <v>0</v>
      </c>
      <c r="L87" s="5">
        <f t="shared" si="40"/>
        <v>0</v>
      </c>
      <c r="M87" s="47"/>
      <c r="N87" s="51"/>
      <c r="O87" s="51"/>
      <c r="P87" s="51"/>
      <c r="Q87" s="51"/>
      <c r="R87" s="49"/>
      <c r="S87" s="5">
        <f t="shared" si="41"/>
        <v>0</v>
      </c>
      <c r="T87" s="53"/>
      <c r="U87" s="48"/>
      <c r="V87" s="48"/>
      <c r="W87" s="48"/>
      <c r="X87" s="48"/>
      <c r="Y87" s="54"/>
    </row>
    <row r="88" spans="1:25" ht="13.5" customHeight="1" x14ac:dyDescent="0.15">
      <c r="A88" s="111"/>
      <c r="B88" s="111"/>
      <c r="C88" s="111" t="s">
        <v>83</v>
      </c>
      <c r="D88" s="158" t="s">
        <v>84</v>
      </c>
      <c r="E88" s="111" t="s">
        <v>83</v>
      </c>
      <c r="F88" s="111" t="s">
        <v>83</v>
      </c>
      <c r="G88" s="194"/>
      <c r="H88" s="20" t="s">
        <v>82</v>
      </c>
      <c r="I88" s="25" t="s">
        <v>26</v>
      </c>
      <c r="J88" s="36" t="s">
        <v>70</v>
      </c>
      <c r="K88" s="4">
        <f t="shared" si="39"/>
        <v>0</v>
      </c>
      <c r="L88" s="4">
        <f t="shared" si="40"/>
        <v>0</v>
      </c>
      <c r="M88" s="47"/>
      <c r="N88" s="48"/>
      <c r="O88" s="48"/>
      <c r="P88" s="48"/>
      <c r="Q88" s="48"/>
      <c r="R88" s="58"/>
      <c r="S88" s="4">
        <f t="shared" si="41"/>
        <v>0</v>
      </c>
      <c r="T88" s="53"/>
      <c r="U88" s="57"/>
      <c r="V88" s="57"/>
      <c r="W88" s="57"/>
      <c r="X88" s="57"/>
      <c r="Y88" s="64"/>
    </row>
    <row r="89" spans="1:25" ht="13.5" customHeight="1" x14ac:dyDescent="0.15">
      <c r="A89" s="111"/>
      <c r="B89" s="111"/>
      <c r="C89" s="111"/>
      <c r="D89" s="158" t="s">
        <v>84</v>
      </c>
      <c r="E89" s="111" t="s">
        <v>83</v>
      </c>
      <c r="F89" s="111"/>
      <c r="G89" s="194"/>
      <c r="H89" s="22">
        <v>828000</v>
      </c>
      <c r="I89" s="27" t="s">
        <v>10</v>
      </c>
      <c r="J89" s="38" t="s">
        <v>71</v>
      </c>
      <c r="K89" s="10">
        <f t="shared" si="39"/>
        <v>0</v>
      </c>
      <c r="L89" s="5">
        <f t="shared" si="40"/>
        <v>0</v>
      </c>
      <c r="M89" s="161"/>
      <c r="N89" s="162"/>
      <c r="O89" s="162"/>
      <c r="P89" s="162"/>
      <c r="Q89" s="162"/>
      <c r="R89" s="163"/>
      <c r="S89" s="10">
        <f t="shared" si="41"/>
        <v>0</v>
      </c>
      <c r="T89" s="164"/>
      <c r="U89" s="162"/>
      <c r="V89" s="162"/>
      <c r="W89" s="162"/>
      <c r="X89" s="162"/>
      <c r="Y89" s="165"/>
    </row>
    <row r="90" spans="1:25" ht="13.5" hidden="1" customHeight="1" x14ac:dyDescent="0.15">
      <c r="A90" s="149"/>
      <c r="B90" s="149"/>
      <c r="C90" s="149"/>
      <c r="D90" s="159"/>
      <c r="E90" s="149"/>
      <c r="F90" s="111" t="s">
        <v>83</v>
      </c>
      <c r="G90" s="194"/>
      <c r="H90" s="148" t="s">
        <v>107</v>
      </c>
      <c r="I90" s="147" t="s">
        <v>5</v>
      </c>
      <c r="J90" s="38" t="s">
        <v>109</v>
      </c>
      <c r="K90" s="15"/>
      <c r="L90" s="15"/>
      <c r="M90" s="150">
        <f t="shared" ref="M90:R90" si="46">SUM(M84:M89)</f>
        <v>0</v>
      </c>
      <c r="N90" s="117">
        <f t="shared" si="46"/>
        <v>0</v>
      </c>
      <c r="O90" s="117">
        <f t="shared" si="46"/>
        <v>0</v>
      </c>
      <c r="P90" s="117">
        <f t="shared" si="46"/>
        <v>0</v>
      </c>
      <c r="Q90" s="117">
        <f t="shared" si="46"/>
        <v>0</v>
      </c>
      <c r="R90" s="118">
        <f t="shared" si="46"/>
        <v>0</v>
      </c>
      <c r="S90" s="15"/>
      <c r="T90" s="150">
        <f t="shared" ref="T90:Y90" si="47">SUM(T84:T89)</f>
        <v>0</v>
      </c>
      <c r="U90" s="117">
        <f t="shared" si="47"/>
        <v>0</v>
      </c>
      <c r="V90" s="117">
        <f t="shared" si="47"/>
        <v>0</v>
      </c>
      <c r="W90" s="117">
        <f t="shared" si="47"/>
        <v>0</v>
      </c>
      <c r="X90" s="117">
        <f t="shared" si="47"/>
        <v>0</v>
      </c>
      <c r="Y90" s="118">
        <f t="shared" si="47"/>
        <v>0</v>
      </c>
    </row>
    <row r="91" spans="1:25" ht="13.5" customHeight="1" x14ac:dyDescent="0.15">
      <c r="A91" s="113"/>
      <c r="B91" s="113"/>
      <c r="C91" s="113"/>
      <c r="D91" s="160"/>
      <c r="E91" s="113"/>
      <c r="F91" s="114"/>
      <c r="G91" s="195"/>
      <c r="H91" s="40"/>
      <c r="I91" s="41"/>
      <c r="J91" s="42" t="s">
        <v>92</v>
      </c>
      <c r="K91" s="7">
        <f>L91+S91</f>
        <v>0</v>
      </c>
      <c r="L91" s="7">
        <f>SUM(M91:R91)</f>
        <v>0</v>
      </c>
      <c r="M91" s="13">
        <f t="shared" ref="M91:R91" si="48">SUM(M84:M89)</f>
        <v>0</v>
      </c>
      <c r="N91" s="8">
        <f t="shared" si="48"/>
        <v>0</v>
      </c>
      <c r="O91" s="8">
        <f t="shared" si="48"/>
        <v>0</v>
      </c>
      <c r="P91" s="8">
        <f t="shared" si="48"/>
        <v>0</v>
      </c>
      <c r="Q91" s="8">
        <f t="shared" si="48"/>
        <v>0</v>
      </c>
      <c r="R91" s="9">
        <f t="shared" si="48"/>
        <v>0</v>
      </c>
      <c r="S91" s="7">
        <f>SUM(T91:Y91)</f>
        <v>0</v>
      </c>
      <c r="T91" s="6">
        <f t="shared" ref="T91:Y91" si="49">SUM(T84:T89)</f>
        <v>0</v>
      </c>
      <c r="U91" s="8">
        <f t="shared" si="49"/>
        <v>0</v>
      </c>
      <c r="V91" s="8">
        <f t="shared" si="49"/>
        <v>0</v>
      </c>
      <c r="W91" s="8">
        <f t="shared" si="49"/>
        <v>0</v>
      </c>
      <c r="X91" s="8">
        <f t="shared" si="49"/>
        <v>0</v>
      </c>
      <c r="Y91" s="16">
        <f t="shared" si="49"/>
        <v>0</v>
      </c>
    </row>
    <row r="92" spans="1:25" hidden="1" x14ac:dyDescent="0.15">
      <c r="A92" s="113"/>
      <c r="B92" s="113"/>
      <c r="C92" s="113"/>
      <c r="D92" s="113"/>
      <c r="E92" s="113"/>
      <c r="F92" s="114" t="s">
        <v>84</v>
      </c>
      <c r="G92" s="145"/>
      <c r="H92" s="148" t="s">
        <v>106</v>
      </c>
      <c r="I92" s="147" t="s">
        <v>5</v>
      </c>
      <c r="J92" s="38" t="s">
        <v>105</v>
      </c>
      <c r="K92" s="146"/>
      <c r="L92" s="146"/>
      <c r="M92" s="95">
        <f t="shared" ref="M92:R92" si="50">M83-M91</f>
        <v>0</v>
      </c>
      <c r="N92" s="99">
        <f t="shared" si="50"/>
        <v>0</v>
      </c>
      <c r="O92" s="99">
        <f t="shared" si="50"/>
        <v>0</v>
      </c>
      <c r="P92" s="99">
        <f t="shared" si="50"/>
        <v>0</v>
      </c>
      <c r="Q92" s="99">
        <f t="shared" si="50"/>
        <v>0</v>
      </c>
      <c r="R92" s="103">
        <f t="shared" si="50"/>
        <v>0</v>
      </c>
      <c r="S92" s="146"/>
      <c r="T92" s="95">
        <f t="shared" ref="T92:Y92" si="51">T83-T91</f>
        <v>0</v>
      </c>
      <c r="U92" s="99">
        <f t="shared" si="51"/>
        <v>0</v>
      </c>
      <c r="V92" s="99">
        <f t="shared" si="51"/>
        <v>0</v>
      </c>
      <c r="W92" s="99">
        <f t="shared" si="51"/>
        <v>0</v>
      </c>
      <c r="X92" s="99">
        <f t="shared" si="51"/>
        <v>0</v>
      </c>
      <c r="Y92" s="103">
        <f t="shared" si="51"/>
        <v>0</v>
      </c>
    </row>
    <row r="93" spans="1:25" x14ac:dyDescent="0.15">
      <c r="A93" s="39"/>
      <c r="H93" s="144"/>
      <c r="I93" s="144"/>
      <c r="J93" s="144"/>
    </row>
  </sheetData>
  <mergeCells count="7">
    <mergeCell ref="G5:H5"/>
    <mergeCell ref="G84:G91"/>
    <mergeCell ref="G77:G83"/>
    <mergeCell ref="G29:G48"/>
    <mergeCell ref="G6:G28"/>
    <mergeCell ref="G49:G61"/>
    <mergeCell ref="G66:G70"/>
  </mergeCells>
  <phoneticPr fontId="3"/>
  <dataValidations count="1">
    <dataValidation type="whole" allowBlank="1" showInputMessage="1" showErrorMessage="1" sqref="T63:Y63 U74:Y75 T69:Y69 T71:Y71 T90:Y90 M29:R47 M74:R75 M63:R63 T29:Y47 M77:R82 U84:Y89 T82:Y82 U70:Y70 M84:R90 U77:Y81 T16:Y17 T19:Y21 M16:R17 M19:R21 M7:R14 T7:Y14 T50:Y59 M61:R61 U61:Y61 M69:R71 M50:R59 T23:Y27 M23:R27">
      <formula1>-99999999999</formula1>
      <formula2>99999999999</formula2>
    </dataValidation>
  </dataValidations>
  <pageMargins left="0.75" right="0.75" top="1" bottom="1" header="0.51200000000000001" footer="0.51200000000000001"/>
  <pageSetup paperSize="9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/>
  </sheetViews>
  <sheetFormatPr defaultRowHeight="13.5" x14ac:dyDescent="0.15"/>
  <cols>
    <col min="1" max="1" width="13.75" style="187" bestFit="1" customWidth="1"/>
    <col min="2" max="2" width="25.25" style="187" bestFit="1" customWidth="1"/>
    <col min="3" max="16384" width="9" style="187"/>
  </cols>
  <sheetData>
    <row r="1" spans="1:2" x14ac:dyDescent="0.15">
      <c r="A1" s="187" t="s">
        <v>150</v>
      </c>
      <c r="B1" s="189">
        <v>46097</v>
      </c>
    </row>
    <row r="2" spans="1:2" x14ac:dyDescent="0.15">
      <c r="A2" s="187" t="s">
        <v>149</v>
      </c>
      <c r="B2" s="188">
        <v>1</v>
      </c>
    </row>
    <row r="3" spans="1:2" x14ac:dyDescent="0.15">
      <c r="A3" s="187" t="s">
        <v>148</v>
      </c>
      <c r="B3" s="187" t="s">
        <v>151</v>
      </c>
    </row>
    <row r="4" spans="1:2" x14ac:dyDescent="0.15">
      <c r="A4" s="187" t="s">
        <v>152</v>
      </c>
      <c r="B4" s="187" t="s">
        <v>153</v>
      </c>
    </row>
    <row r="5" spans="1:2" x14ac:dyDescent="0.15">
      <c r="A5" s="187" t="s">
        <v>145</v>
      </c>
      <c r="B5" s="190">
        <v>2025</v>
      </c>
    </row>
    <row r="6" spans="1:2" x14ac:dyDescent="0.15">
      <c r="A6" s="187" t="s">
        <v>143</v>
      </c>
      <c r="B6" s="190" t="s">
        <v>146</v>
      </c>
    </row>
    <row r="7" spans="1:2" x14ac:dyDescent="0.15">
      <c r="A7" s="187" t="s">
        <v>144</v>
      </c>
      <c r="B7" s="190" t="s">
        <v>147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部門別経費予算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本山敦士</cp:lastModifiedBy>
  <cp:revision/>
  <dcterms:created xsi:type="dcterms:W3CDTF">2008-07-08T15:15:00Z</dcterms:created>
  <dcterms:modified xsi:type="dcterms:W3CDTF">2026-06-10T09:26:19Z</dcterms:modified>
  <cp:category/>
</cp:coreProperties>
</file>