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900017\Documents\03_予算管理バージョンアップ\Excelフォーマット\"/>
    </mc:Choice>
  </mc:AlternateContent>
  <bookViews>
    <workbookView xWindow="75" yWindow="5160" windowWidth="15480" windowHeight="11640"/>
  </bookViews>
  <sheets>
    <sheet name="商品課別営業予算表" sheetId="4" r:id="rId1"/>
    <sheet name="Settings" sheetId="5" r:id="rId2"/>
  </sheets>
  <externalReferences>
    <externalReference r:id="rId3"/>
    <externalReference r:id="rId4"/>
  </externalReferences>
  <calcPr calcId="162913"/>
</workbook>
</file>

<file path=xl/calcChain.xml><?xml version="1.0" encoding="utf-8"?>
<calcChain xmlns="http://schemas.openxmlformats.org/spreadsheetml/2006/main">
  <c r="J14" i="4" l="1"/>
  <c r="Q14" i="4"/>
  <c r="J15" i="4"/>
  <c r="Q15" i="4"/>
  <c r="J16" i="4"/>
  <c r="I16" i="4" s="1"/>
  <c r="Q16" i="4"/>
  <c r="J17" i="4"/>
  <c r="Q17" i="4"/>
  <c r="I17" i="4" s="1"/>
  <c r="K18" i="4"/>
  <c r="L18" i="4"/>
  <c r="M18" i="4"/>
  <c r="N18" i="4"/>
  <c r="O18" i="4"/>
  <c r="P18" i="4"/>
  <c r="R18" i="4"/>
  <c r="S18" i="4"/>
  <c r="T18" i="4"/>
  <c r="U18" i="4"/>
  <c r="V18" i="4"/>
  <c r="W18" i="4"/>
  <c r="P19" i="4"/>
  <c r="J19" i="4" s="1"/>
  <c r="W19" i="4"/>
  <c r="Q19" i="4" s="1"/>
  <c r="J20" i="4"/>
  <c r="Q20" i="4"/>
  <c r="J21" i="4"/>
  <c r="Q21" i="4"/>
  <c r="K22" i="4"/>
  <c r="L22" i="4"/>
  <c r="M22" i="4"/>
  <c r="N22" i="4"/>
  <c r="O22" i="4"/>
  <c r="P22" i="4"/>
  <c r="R22" i="4"/>
  <c r="S22" i="4"/>
  <c r="T22" i="4"/>
  <c r="U22" i="4"/>
  <c r="V22" i="4"/>
  <c r="W22" i="4"/>
  <c r="J23" i="4"/>
  <c r="Q23" i="4"/>
  <c r="J24" i="4"/>
  <c r="I24" i="4" s="1"/>
  <c r="Q24" i="4"/>
  <c r="J25" i="4"/>
  <c r="Q25" i="4"/>
  <c r="J26" i="4"/>
  <c r="Q26" i="4"/>
  <c r="J27" i="4"/>
  <c r="Q27" i="4"/>
  <c r="J28" i="4"/>
  <c r="I28" i="4" s="1"/>
  <c r="Q28" i="4"/>
  <c r="K29" i="4"/>
  <c r="L13" i="4" s="1"/>
  <c r="J30" i="4"/>
  <c r="I30" i="4" s="1"/>
  <c r="Q30" i="4"/>
  <c r="J31" i="4"/>
  <c r="Q31" i="4"/>
  <c r="I31" i="4" s="1"/>
  <c r="J32" i="4"/>
  <c r="I32" i="4" s="1"/>
  <c r="Q32" i="4"/>
  <c r="K33" i="4"/>
  <c r="L33" i="4"/>
  <c r="M33" i="4"/>
  <c r="N33" i="4"/>
  <c r="O33" i="4"/>
  <c r="P33" i="4"/>
  <c r="R33" i="4"/>
  <c r="S33" i="4"/>
  <c r="T33" i="4"/>
  <c r="U33" i="4"/>
  <c r="V33" i="4"/>
  <c r="W33" i="4"/>
  <c r="Q18" i="4" l="1"/>
  <c r="I20" i="4"/>
  <c r="I25" i="4"/>
  <c r="I15" i="4"/>
  <c r="I27" i="4"/>
  <c r="I23" i="4"/>
  <c r="I26" i="4"/>
  <c r="L29" i="4"/>
  <c r="M13" i="4" s="1"/>
  <c r="M29" i="4" s="1"/>
  <c r="N13" i="4" s="1"/>
  <c r="N29" i="4" s="1"/>
  <c r="O13" i="4" s="1"/>
  <c r="O29" i="4" s="1"/>
  <c r="P13" i="4" s="1"/>
  <c r="P29" i="4" s="1"/>
  <c r="R13" i="4" s="1"/>
  <c r="R29" i="4" s="1"/>
  <c r="J33" i="4"/>
  <c r="I21" i="4"/>
  <c r="J18" i="4"/>
  <c r="Q33" i="4"/>
  <c r="Q22" i="4"/>
  <c r="I14" i="4"/>
  <c r="I19" i="4"/>
  <c r="J22" i="4"/>
  <c r="I18" i="4" l="1"/>
  <c r="J29" i="4"/>
  <c r="I33" i="4"/>
  <c r="I22" i="4"/>
  <c r="J13" i="4"/>
  <c r="S13" i="4"/>
  <c r="S29" i="4" l="1"/>
  <c r="T13" i="4" l="1"/>
  <c r="T29" i="4" l="1"/>
  <c r="U13" i="4" l="1"/>
  <c r="U29" i="4" l="1"/>
  <c r="V13" i="4" l="1"/>
  <c r="V29" i="4" s="1"/>
  <c r="W13" i="4" s="1"/>
  <c r="W29" i="4" l="1"/>
  <c r="Q29" i="4" s="1"/>
  <c r="I29" i="4" s="1"/>
  <c r="Q13" i="4"/>
  <c r="I13" i="4" s="1"/>
</calcChain>
</file>

<file path=xl/sharedStrings.xml><?xml version="1.0" encoding="utf-8"?>
<sst xmlns="http://schemas.openxmlformats.org/spreadsheetml/2006/main" count="169" uniqueCount="79">
  <si>
    <t>科    目   名</t>
    <rPh sb="0" eb="6">
      <t>カモク</t>
    </rPh>
    <rPh sb="9" eb="10">
      <t>ナ</t>
    </rPh>
    <phoneticPr fontId="3"/>
  </si>
  <si>
    <t>上 期 計</t>
    <rPh sb="0" eb="3">
      <t>カミキ</t>
    </rPh>
    <rPh sb="4" eb="5">
      <t>ケイ</t>
    </rPh>
    <phoneticPr fontId="3"/>
  </si>
  <si>
    <t>下 期 計</t>
    <rPh sb="0" eb="3">
      <t>シモキ</t>
    </rPh>
    <rPh sb="4" eb="5">
      <t>ケイ</t>
    </rPh>
    <phoneticPr fontId="3"/>
  </si>
  <si>
    <t>Y</t>
    <phoneticPr fontId="3"/>
  </si>
  <si>
    <t>データ出力</t>
    <rPh sb="3" eb="5">
      <t>シュツリョク</t>
    </rPh>
    <phoneticPr fontId="3"/>
  </si>
  <si>
    <t>マスタチェック</t>
    <phoneticPr fontId="3"/>
  </si>
  <si>
    <t>Y</t>
    <phoneticPr fontId="3"/>
  </si>
  <si>
    <t>データ入力</t>
    <rPh sb="3" eb="5">
      <t>ニュウリョク</t>
    </rPh>
    <phoneticPr fontId="3"/>
  </si>
  <si>
    <t xml:space="preserve"> 99月</t>
    <phoneticPr fontId="3"/>
  </si>
  <si>
    <t xml:space="preserve"> 99月</t>
    <phoneticPr fontId="5"/>
  </si>
  <si>
    <t>繰越在庫</t>
  </si>
  <si>
    <t>仕入</t>
  </si>
  <si>
    <t>加工振替</t>
  </si>
  <si>
    <t>加工賃</t>
  </si>
  <si>
    <t>610000</t>
  </si>
  <si>
    <t>付帯費</t>
  </si>
  <si>
    <t>品質管理積立金</t>
  </si>
  <si>
    <t>事業部積立金</t>
  </si>
  <si>
    <t>送品仕入</t>
  </si>
  <si>
    <t>総売上</t>
  </si>
  <si>
    <t>返品</t>
  </si>
  <si>
    <t>値引</t>
  </si>
  <si>
    <t>純売上</t>
  </si>
  <si>
    <t>有償売上</t>
  </si>
  <si>
    <t>社内売上</t>
  </si>
  <si>
    <t>期末在庫</t>
  </si>
  <si>
    <t>粗利益①</t>
  </si>
  <si>
    <t>621000</t>
  </si>
  <si>
    <t>621100</t>
  </si>
  <si>
    <t>622000</t>
  </si>
  <si>
    <t>623000</t>
  </si>
  <si>
    <t>624000</t>
  </si>
  <si>
    <t>621230</t>
  </si>
  <si>
    <t>510000</t>
  </si>
  <si>
    <t>521000</t>
  </si>
  <si>
    <t>522000</t>
  </si>
  <si>
    <t>511110</t>
  </si>
  <si>
    <t>511200</t>
  </si>
  <si>
    <t>512400</t>
  </si>
  <si>
    <t>630000</t>
  </si>
  <si>
    <t>660000</t>
  </si>
  <si>
    <t>Y</t>
    <phoneticPr fontId="3"/>
  </si>
  <si>
    <t>Y</t>
    <phoneticPr fontId="3"/>
  </si>
  <si>
    <t>入力制御（企画部）</t>
    <rPh sb="0" eb="2">
      <t>ニュウリョク</t>
    </rPh>
    <rPh sb="2" eb="4">
      <t>セイギョ</t>
    </rPh>
    <rPh sb="5" eb="7">
      <t>キカク</t>
    </rPh>
    <rPh sb="7" eb="8">
      <t>ブ</t>
    </rPh>
    <phoneticPr fontId="3"/>
  </si>
  <si>
    <t>入力制御（営業部）</t>
    <rPh sb="5" eb="7">
      <t>エイギョウ</t>
    </rPh>
    <rPh sb="7" eb="8">
      <t>ブ</t>
    </rPh>
    <phoneticPr fontId="3"/>
  </si>
  <si>
    <t>Y</t>
    <phoneticPr fontId="3"/>
  </si>
  <si>
    <t>入力制御（自動計算）</t>
    <rPh sb="5" eb="7">
      <t>ジドウ</t>
    </rPh>
    <rPh sb="7" eb="9">
      <t>ケイサン</t>
    </rPh>
    <phoneticPr fontId="3"/>
  </si>
  <si>
    <t>科目</t>
    <phoneticPr fontId="3"/>
  </si>
  <si>
    <t>年  計</t>
    <rPh sb="0" eb="1">
      <t>ネン</t>
    </rPh>
    <rPh sb="3" eb="4">
      <t>ケイ</t>
    </rPh>
    <phoneticPr fontId="3"/>
  </si>
  <si>
    <t>621240</t>
  </si>
  <si>
    <t>社内仕入</t>
  </si>
  <si>
    <t>512000</t>
    <phoneticPr fontId="3"/>
  </si>
  <si>
    <t>送品売上</t>
    <rPh sb="0" eb="2">
      <t>ソウヒン</t>
    </rPh>
    <rPh sb="2" eb="4">
      <t>ウリアゲ</t>
    </rPh>
    <phoneticPr fontId="3"/>
  </si>
  <si>
    <t>650000</t>
  </si>
  <si>
    <t>企画Ｒ</t>
    <phoneticPr fontId="3"/>
  </si>
  <si>
    <t>65A000</t>
  </si>
  <si>
    <t>ペナルティ</t>
  </si>
  <si>
    <t>690000</t>
    <phoneticPr fontId="3"/>
  </si>
  <si>
    <t>粗利益②</t>
    <phoneticPr fontId="3"/>
  </si>
  <si>
    <t>6241AA</t>
    <phoneticPr fontId="3"/>
  </si>
  <si>
    <t>ファイル生成日</t>
    <rPh sb="4" eb="7">
      <t>セイセイビ</t>
    </rPh>
    <phoneticPr fontId="3"/>
  </si>
  <si>
    <t>アプリVer.</t>
    <phoneticPr fontId="3"/>
  </si>
  <si>
    <t>業務ID</t>
    <rPh sb="0" eb="2">
      <t>ギョウム</t>
    </rPh>
    <phoneticPr fontId="3"/>
  </si>
  <si>
    <t>FY320</t>
    <phoneticPr fontId="3"/>
  </si>
  <si>
    <t>業務名</t>
    <rPh sb="0" eb="2">
      <t>ギョウム</t>
    </rPh>
    <rPh sb="2" eb="3">
      <t>メイ</t>
    </rPh>
    <phoneticPr fontId="3"/>
  </si>
  <si>
    <t>入力表</t>
    <rPh sb="0" eb="2">
      <t>ニュウリョク</t>
    </rPh>
    <rPh sb="2" eb="3">
      <t>ヒョウ</t>
    </rPh>
    <phoneticPr fontId="3"/>
  </si>
  <si>
    <t>商品課別営業予算</t>
    <rPh sb="0" eb="4">
      <t>ショウヒンカベツ</t>
    </rPh>
    <rPh sb="4" eb="6">
      <t>エイギョウ</t>
    </rPh>
    <rPh sb="6" eb="8">
      <t>ヨサン</t>
    </rPh>
    <phoneticPr fontId="3"/>
  </si>
  <si>
    <t>年度</t>
    <rPh sb="0" eb="2">
      <t>ネンド</t>
    </rPh>
    <phoneticPr fontId="3"/>
  </si>
  <si>
    <t>会社</t>
    <rPh sb="0" eb="2">
      <t>カイシャ</t>
    </rPh>
    <phoneticPr fontId="3"/>
  </si>
  <si>
    <t>00000：キング（全社）</t>
    <rPh sb="10" eb="12">
      <t>ゼンシャ</t>
    </rPh>
    <phoneticPr fontId="3"/>
  </si>
  <si>
    <t>部</t>
    <rPh sb="0" eb="1">
      <t>ブ</t>
    </rPh>
    <phoneticPr fontId="3"/>
  </si>
  <si>
    <t>12726：テナント・東京本社</t>
    <rPh sb="11" eb="13">
      <t>トウキョウ</t>
    </rPh>
    <rPh sb="13" eb="15">
      <t>ホンシャ</t>
    </rPh>
    <phoneticPr fontId="3"/>
  </si>
  <si>
    <t>商品区分</t>
    <rPh sb="0" eb="2">
      <t>ショウヒン</t>
    </rPh>
    <rPh sb="2" eb="4">
      <t>クブン</t>
    </rPh>
    <phoneticPr fontId="3"/>
  </si>
  <si>
    <t>1：製品</t>
    <rPh sb="2" eb="4">
      <t>セイヒン</t>
    </rPh>
    <phoneticPr fontId="3"/>
  </si>
  <si>
    <t>代表商品課</t>
    <rPh sb="0" eb="2">
      <t>ダイヒョウ</t>
    </rPh>
    <rPh sb="2" eb="5">
      <t>ショウヒンカ</t>
    </rPh>
    <phoneticPr fontId="3"/>
  </si>
  <si>
    <t>10：１０課</t>
    <rPh sb="5" eb="6">
      <t>カ</t>
    </rPh>
    <phoneticPr fontId="3"/>
  </si>
  <si>
    <t>月</t>
    <rPh sb="0" eb="1">
      <t>ツキ</t>
    </rPh>
    <phoneticPr fontId="3"/>
  </si>
  <si>
    <t>企画Ｒ計算</t>
    <rPh sb="0" eb="2">
      <t>キカク</t>
    </rPh>
    <rPh sb="3" eb="5">
      <t>ケイサン</t>
    </rPh>
    <phoneticPr fontId="3"/>
  </si>
  <si>
    <t>商品課別営業予算</t>
    <rPh sb="0" eb="2">
      <t>ショウヒン</t>
    </rPh>
    <rPh sb="2" eb="4">
      <t>カベツ</t>
    </rPh>
    <rPh sb="4" eb="6">
      <t>エイギョウ</t>
    </rPh>
    <rPh sb="6" eb="8">
      <t>ヨサン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</si>
</sst>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1" fillId="0" borderId="0"/>
  </cellStyleXfs>
  <cellXfs count="63">
    <xf numFmtId="0" fontId="0" fillId="0" borderId="0" xfId="0"/>
    <xf numFmtId="38" fontId="4" fillId="2" borderId="1" xfId="1" applyFont="1" applyFill="1" applyBorder="1" applyAlignment="1" applyProtection="1">
      <alignment vertical="center"/>
    </xf>
    <xf numFmtId="38" fontId="4" fillId="2" borderId="2" xfId="1" applyFont="1" applyFill="1" applyBorder="1" applyAlignment="1" applyProtection="1">
      <alignment vertical="center"/>
    </xf>
    <xf numFmtId="0" fontId="0" fillId="0" borderId="0" xfId="0" applyAlignment="1" applyProtection="1"/>
    <xf numFmtId="38" fontId="4" fillId="3" borderId="3" xfId="1" applyFont="1" applyFill="1" applyBorder="1" applyAlignment="1" applyProtection="1">
      <alignment horizontal="center" vertical="center"/>
    </xf>
    <xf numFmtId="38" fontId="4" fillId="3" borderId="4" xfId="1" applyFont="1" applyFill="1" applyBorder="1" applyAlignment="1" applyProtection="1">
      <alignment horizontal="center" vertical="center"/>
    </xf>
    <xf numFmtId="38" fontId="2" fillId="3" borderId="5" xfId="1" applyFont="1" applyFill="1" applyBorder="1" applyAlignment="1" applyProtection="1">
      <alignment horizontal="center" vertical="center"/>
    </xf>
    <xf numFmtId="38" fontId="2" fillId="3" borderId="6" xfId="1" applyFont="1" applyFill="1" applyBorder="1" applyAlignment="1" applyProtection="1">
      <alignment horizontal="center" vertical="center"/>
    </xf>
    <xf numFmtId="0" fontId="6" fillId="0" borderId="0" xfId="0" applyFont="1" applyAlignment="1" applyProtection="1"/>
    <xf numFmtId="38" fontId="4" fillId="0" borderId="7" xfId="1" applyFont="1" applyFill="1" applyBorder="1" applyAlignment="1" applyProtection="1">
      <alignment horizontal="right" vertical="center"/>
      <protection locked="0"/>
    </xf>
    <xf numFmtId="38" fontId="4" fillId="4" borderId="8" xfId="1" applyFont="1" applyFill="1" applyBorder="1" applyAlignment="1" applyProtection="1">
      <alignment horizontal="right" vertical="center"/>
      <protection locked="0"/>
    </xf>
    <xf numFmtId="38" fontId="4" fillId="4" borderId="9" xfId="1" applyFont="1" applyFill="1" applyBorder="1" applyAlignment="1" applyProtection="1">
      <alignment horizontal="right" vertical="center"/>
      <protection locked="0"/>
    </xf>
    <xf numFmtId="38" fontId="4" fillId="4" borderId="10" xfId="1" applyFont="1" applyFill="1" applyBorder="1" applyAlignment="1" applyProtection="1">
      <alignment horizontal="right" vertical="center"/>
      <protection locked="0"/>
    </xf>
    <xf numFmtId="38" fontId="4" fillId="0" borderId="11" xfId="1" applyFont="1" applyFill="1" applyBorder="1" applyAlignment="1" applyProtection="1">
      <alignment horizontal="right" vertical="center"/>
      <protection locked="0"/>
    </xf>
    <xf numFmtId="38" fontId="4" fillId="0" borderId="12" xfId="1" applyFont="1" applyFill="1" applyBorder="1" applyAlignment="1" applyProtection="1">
      <alignment horizontal="right" vertical="center"/>
      <protection locked="0"/>
    </xf>
    <xf numFmtId="38" fontId="4" fillId="0" borderId="8" xfId="1" applyFont="1" applyFill="1" applyBorder="1" applyAlignment="1" applyProtection="1">
      <alignment horizontal="right" vertical="center"/>
      <protection locked="0"/>
    </xf>
    <xf numFmtId="38" fontId="4" fillId="0" borderId="9" xfId="1" applyFont="1" applyFill="1" applyBorder="1" applyAlignment="1" applyProtection="1">
      <alignment horizontal="right" vertical="center"/>
      <protection locked="0"/>
    </xf>
    <xf numFmtId="38" fontId="4" fillId="0" borderId="13" xfId="1" applyFont="1" applyFill="1" applyBorder="1" applyAlignment="1" applyProtection="1">
      <alignment horizontal="right" vertical="center"/>
      <protection locked="0"/>
    </xf>
    <xf numFmtId="38" fontId="4" fillId="4" borderId="13" xfId="1" applyFont="1" applyFill="1" applyBorder="1" applyAlignment="1" applyProtection="1">
      <alignment horizontal="right" vertical="center"/>
      <protection locked="0"/>
    </xf>
    <xf numFmtId="38" fontId="4" fillId="3" borderId="14" xfId="1" applyFont="1" applyFill="1" applyBorder="1" applyAlignment="1" applyProtection="1">
      <alignment horizontal="center" vertical="center"/>
    </xf>
    <xf numFmtId="38" fontId="4" fillId="3" borderId="15" xfId="1" applyFont="1" applyFill="1" applyBorder="1" applyAlignment="1" applyProtection="1">
      <alignment horizontal="center" vertical="center"/>
    </xf>
    <xf numFmtId="38" fontId="4" fillId="3" borderId="16" xfId="1" applyFont="1" applyFill="1" applyBorder="1" applyAlignment="1" applyProtection="1">
      <alignment horizontal="center" vertical="center"/>
    </xf>
    <xf numFmtId="38" fontId="4" fillId="0" borderId="17" xfId="1" applyFont="1" applyFill="1" applyBorder="1" applyAlignment="1" applyProtection="1">
      <alignment vertical="center"/>
    </xf>
    <xf numFmtId="49" fontId="4" fillId="3" borderId="3" xfId="1" applyNumberFormat="1" applyFont="1" applyFill="1" applyBorder="1" applyAlignment="1" applyProtection="1">
      <alignment horizontal="center" vertical="center"/>
    </xf>
    <xf numFmtId="49" fontId="4" fillId="3" borderId="2" xfId="1" applyNumberFormat="1" applyFont="1" applyFill="1" applyBorder="1" applyAlignment="1" applyProtection="1">
      <alignment horizontal="center" vertical="center"/>
    </xf>
    <xf numFmtId="49" fontId="4" fillId="3" borderId="18" xfId="1" applyNumberFormat="1" applyFont="1" applyFill="1" applyBorder="1" applyAlignment="1" applyProtection="1">
      <alignment horizontal="center" vertical="center"/>
    </xf>
    <xf numFmtId="38" fontId="4" fillId="5" borderId="19" xfId="1" applyFont="1" applyFill="1" applyBorder="1" applyAlignment="1" applyProtection="1">
      <alignment vertical="center"/>
    </xf>
    <xf numFmtId="38" fontId="4" fillId="5" borderId="5" xfId="1" applyFont="1" applyFill="1" applyBorder="1" applyAlignment="1" applyProtection="1">
      <alignment vertical="center"/>
    </xf>
    <xf numFmtId="38" fontId="4" fillId="5" borderId="8" xfId="1" applyFont="1" applyFill="1" applyBorder="1" applyAlignment="1" applyProtection="1">
      <alignment horizontal="right" vertical="center"/>
      <protection locked="0"/>
    </xf>
    <xf numFmtId="38" fontId="4" fillId="5" borderId="9" xfId="1" applyFont="1" applyFill="1" applyBorder="1" applyAlignment="1" applyProtection="1">
      <alignment horizontal="right" vertical="center"/>
      <protection locked="0"/>
    </xf>
    <xf numFmtId="38" fontId="4" fillId="5" borderId="10" xfId="1" applyFont="1" applyFill="1" applyBorder="1" applyAlignment="1" applyProtection="1">
      <alignment horizontal="right" vertical="center"/>
      <protection locked="0"/>
    </xf>
    <xf numFmtId="38" fontId="4" fillId="5" borderId="13" xfId="1" applyFont="1" applyFill="1" applyBorder="1" applyAlignment="1" applyProtection="1">
      <alignment horizontal="right" vertical="center"/>
      <protection locked="0"/>
    </xf>
    <xf numFmtId="38" fontId="4" fillId="2" borderId="20" xfId="1" applyFont="1" applyFill="1" applyBorder="1" applyAlignment="1" applyProtection="1">
      <alignment vertical="center"/>
    </xf>
    <xf numFmtId="38" fontId="4" fillId="5" borderId="11" xfId="1" applyFont="1" applyFill="1" applyBorder="1" applyAlignment="1" applyProtection="1">
      <alignment horizontal="right" vertical="center"/>
      <protection locked="0"/>
    </xf>
    <xf numFmtId="38" fontId="4" fillId="5" borderId="21" xfId="1" applyFont="1" applyFill="1" applyBorder="1" applyAlignment="1" applyProtection="1">
      <alignment horizontal="right" vertical="center"/>
      <protection locked="0"/>
    </xf>
    <xf numFmtId="38" fontId="4" fillId="5" borderId="22" xfId="1" applyFont="1" applyFill="1" applyBorder="1" applyAlignment="1" applyProtection="1">
      <alignment horizontal="right" vertical="center"/>
      <protection locked="0"/>
    </xf>
    <xf numFmtId="38" fontId="4" fillId="5" borderId="23" xfId="1" applyFont="1" applyFill="1" applyBorder="1" applyAlignment="1" applyProtection="1">
      <alignment horizontal="right" vertical="center"/>
      <protection locked="0"/>
    </xf>
    <xf numFmtId="38" fontId="2" fillId="3" borderId="24" xfId="1" applyFont="1" applyFill="1" applyBorder="1" applyAlignment="1" applyProtection="1">
      <alignment horizontal="center" vertical="center"/>
    </xf>
    <xf numFmtId="38" fontId="4" fillId="2" borderId="18" xfId="1" applyFont="1" applyFill="1" applyBorder="1" applyAlignment="1" applyProtection="1">
      <alignment vertical="center"/>
    </xf>
    <xf numFmtId="38" fontId="4" fillId="5" borderId="25" xfId="1" applyFont="1" applyFill="1" applyBorder="1" applyAlignment="1" applyProtection="1">
      <alignment horizontal="right" vertical="center"/>
      <protection locked="0"/>
    </xf>
    <xf numFmtId="38" fontId="4" fillId="5" borderId="26" xfId="1" applyFont="1" applyFill="1" applyBorder="1" applyAlignment="1" applyProtection="1">
      <alignment horizontal="right" vertical="center"/>
      <protection locked="0"/>
    </xf>
    <xf numFmtId="38" fontId="4" fillId="5" borderId="27" xfId="1" applyFont="1" applyFill="1" applyBorder="1" applyAlignment="1" applyProtection="1">
      <alignment horizontal="right" vertical="center"/>
      <protection locked="0"/>
    </xf>
    <xf numFmtId="38" fontId="4" fillId="5" borderId="28" xfId="1" applyFont="1" applyFill="1" applyBorder="1" applyAlignment="1" applyProtection="1">
      <alignment horizontal="right" vertical="center"/>
      <protection locked="0"/>
    </xf>
    <xf numFmtId="38" fontId="4" fillId="4" borderId="7" xfId="1" applyFont="1" applyFill="1" applyBorder="1" applyAlignment="1" applyProtection="1">
      <alignment horizontal="right" vertical="center"/>
      <protection locked="0"/>
    </xf>
    <xf numFmtId="38" fontId="4" fillId="4" borderId="21" xfId="1" applyFont="1" applyFill="1" applyBorder="1" applyAlignment="1" applyProtection="1">
      <alignment horizontal="right" vertical="center"/>
      <protection locked="0"/>
    </xf>
    <xf numFmtId="38" fontId="4" fillId="4" borderId="23" xfId="1" applyFont="1" applyFill="1" applyBorder="1" applyAlignment="1" applyProtection="1">
      <alignment horizontal="right" vertical="center"/>
      <protection locked="0"/>
    </xf>
    <xf numFmtId="38" fontId="4" fillId="4" borderId="6" xfId="1" applyFont="1" applyFill="1" applyBorder="1" applyAlignment="1" applyProtection="1">
      <alignment horizontal="right" vertical="center"/>
      <protection locked="0"/>
    </xf>
    <xf numFmtId="0" fontId="2" fillId="0" borderId="0" xfId="0" applyFont="1" applyAlignment="1" applyProtection="1"/>
    <xf numFmtId="49" fontId="2" fillId="0" borderId="1" xfId="1" applyNumberFormat="1" applyFont="1" applyFill="1" applyBorder="1" applyAlignment="1" applyProtection="1">
      <alignment horizontal="center" vertical="center"/>
    </xf>
    <xf numFmtId="49" fontId="4" fillId="0" borderId="2" xfId="1" applyNumberFormat="1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/>
    <xf numFmtId="49" fontId="4" fillId="0" borderId="18" xfId="1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 applyProtection="1"/>
    <xf numFmtId="0" fontId="0" fillId="0" borderId="18" xfId="0" applyBorder="1" applyAlignment="1" applyProtection="1">
      <alignment horizontal="center" vertical="center"/>
      <protection locked="0"/>
    </xf>
    <xf numFmtId="0" fontId="4" fillId="4" borderId="8" xfId="1" applyNumberFormat="1" applyFont="1" applyFill="1" applyBorder="1" applyAlignment="1" applyProtection="1">
      <alignment horizontal="right" vertical="center"/>
      <protection locked="0"/>
    </xf>
    <xf numFmtId="0" fontId="4" fillId="4" borderId="13" xfId="1" applyNumberFormat="1" applyFont="1" applyFill="1" applyBorder="1" applyAlignment="1" applyProtection="1">
      <alignment horizontal="right" vertical="center"/>
      <protection locked="0"/>
    </xf>
    <xf numFmtId="0" fontId="4" fillId="0" borderId="0" xfId="0" applyFont="1" applyAlignment="1" applyProtection="1"/>
    <xf numFmtId="0" fontId="1" fillId="0" borderId="0" xfId="2" applyFont="1"/>
    <xf numFmtId="14" fontId="1" fillId="0" borderId="0" xfId="2" applyNumberFormat="1" applyFont="1" applyAlignment="1">
      <alignment horizontal="left"/>
    </xf>
    <xf numFmtId="0" fontId="1" fillId="0" borderId="0" xfId="2"/>
    <xf numFmtId="2" fontId="1" fillId="0" borderId="0" xfId="2" applyNumberFormat="1" applyFont="1" applyAlignment="1">
      <alignment horizontal="left"/>
    </xf>
    <xf numFmtId="0" fontId="1" fillId="0" borderId="0" xfId="2" applyFont="1" applyAlignment="1">
      <alignment horizontal="left"/>
    </xf>
  </cellXfs>
  <cellStyles count="3">
    <cellStyle name="桁区切り" xfId="1" builtinId="6"/>
    <cellStyle name="標準" xfId="0" builtinId="0"/>
    <cellStyle name="標準 2" xfId="2"/>
  </cellStyles>
  <dxfs count="0"/>
  <tableStyles count="0" defaultTableStyle="TableStyleMedium9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0</xdr:row>
      <xdr:rowOff>51288</xdr:rowOff>
    </xdr:from>
    <xdr:to>
      <xdr:col>23</xdr:col>
      <xdr:colOff>0</xdr:colOff>
      <xdr:row>10</xdr:row>
      <xdr:rowOff>152401</xdr:rowOff>
    </xdr:to>
    <xdr:sp macro="" textlink="">
      <xdr:nvSpPr>
        <xdr:cNvPr id="28" name="正方形/長方形 27"/>
        <xdr:cNvSpPr/>
      </xdr:nvSpPr>
      <xdr:spPr>
        <a:xfrm>
          <a:off x="5095875" y="51288"/>
          <a:ext cx="9382125" cy="181561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411572</xdr:colOff>
      <xdr:row>8</xdr:row>
      <xdr:rowOff>130348</xdr:rowOff>
    </xdr:from>
    <xdr:to>
      <xdr:col>11</xdr:col>
      <xdr:colOff>328660</xdr:colOff>
      <xdr:row>10</xdr:row>
      <xdr:rowOff>53820</xdr:rowOff>
    </xdr:to>
    <xdr:sp macro="" textlink="">
      <xdr:nvSpPr>
        <xdr:cNvPr id="29" name="テキスト ボックス 28"/>
        <xdr:cNvSpPr txBox="1"/>
      </xdr:nvSpPr>
      <xdr:spPr>
        <a:xfrm>
          <a:off x="7326722" y="1501948"/>
          <a:ext cx="1031513" cy="26637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月</a:t>
          </a:r>
        </a:p>
      </xdr:txBody>
    </xdr:sp>
    <xdr:clientData/>
  </xdr:twoCellAnchor>
  <xdr:twoCellAnchor>
    <xdr:from>
      <xdr:col>11</xdr:col>
      <xdr:colOff>318939</xdr:colOff>
      <xdr:row>8</xdr:row>
      <xdr:rowOff>130348</xdr:rowOff>
    </xdr:from>
    <xdr:to>
      <xdr:col>15</xdr:col>
      <xdr:colOff>308217</xdr:colOff>
      <xdr:row>10</xdr:row>
      <xdr:rowOff>53820</xdr:rowOff>
    </xdr:to>
    <xdr:sp macro="" textlink="Settings!$B$11">
      <xdr:nvSpPr>
        <xdr:cNvPr id="34" name="テキスト ボックス 33"/>
        <xdr:cNvSpPr txBox="1"/>
      </xdr:nvSpPr>
      <xdr:spPr>
        <a:xfrm>
          <a:off x="8348514" y="1501948"/>
          <a:ext cx="2122878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214E709-382D-48C9-BC1A-B8D7E246257E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 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520742</xdr:colOff>
      <xdr:row>8</xdr:row>
      <xdr:rowOff>130348</xdr:rowOff>
    </xdr:from>
    <xdr:to>
      <xdr:col>18</xdr:col>
      <xdr:colOff>247905</xdr:colOff>
      <xdr:row>10</xdr:row>
      <xdr:rowOff>53820</xdr:rowOff>
    </xdr:to>
    <xdr:sp macro="" textlink="">
      <xdr:nvSpPr>
        <xdr:cNvPr id="35" name="テキスト ボックス 34"/>
        <xdr:cNvSpPr txBox="1"/>
      </xdr:nvSpPr>
      <xdr:spPr>
        <a:xfrm>
          <a:off x="10683917" y="1501948"/>
          <a:ext cx="1374988" cy="266372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企画Ｒ計算</a:t>
          </a:r>
        </a:p>
      </xdr:txBody>
    </xdr:sp>
    <xdr:clientData/>
  </xdr:twoCellAnchor>
  <xdr:twoCellAnchor>
    <xdr:from>
      <xdr:col>18</xdr:col>
      <xdr:colOff>244588</xdr:colOff>
      <xdr:row>8</xdr:row>
      <xdr:rowOff>130348</xdr:rowOff>
    </xdr:from>
    <xdr:to>
      <xdr:col>22</xdr:col>
      <xdr:colOff>433021</xdr:colOff>
      <xdr:row>10</xdr:row>
      <xdr:rowOff>53820</xdr:rowOff>
    </xdr:to>
    <xdr:sp macro="" textlink="Settings!$B$12">
      <xdr:nvSpPr>
        <xdr:cNvPr id="39" name="テキスト ボックス 38"/>
        <xdr:cNvSpPr txBox="1"/>
      </xdr:nvSpPr>
      <xdr:spPr>
        <a:xfrm>
          <a:off x="12055588" y="1501948"/>
          <a:ext cx="2322033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768C121-8626-45AB-9154-59E80170C230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 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411572</xdr:colOff>
      <xdr:row>6</xdr:row>
      <xdr:rowOff>120823</xdr:rowOff>
    </xdr:from>
    <xdr:to>
      <xdr:col>11</xdr:col>
      <xdr:colOff>328660</xdr:colOff>
      <xdr:row>8</xdr:row>
      <xdr:rowOff>44295</xdr:rowOff>
    </xdr:to>
    <xdr:sp macro="" textlink="">
      <xdr:nvSpPr>
        <xdr:cNvPr id="40" name="テキスト ボックス 39"/>
        <xdr:cNvSpPr txBox="1"/>
      </xdr:nvSpPr>
      <xdr:spPr>
        <a:xfrm>
          <a:off x="7326722" y="1149523"/>
          <a:ext cx="1031513" cy="266372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商品区分</a:t>
          </a:r>
        </a:p>
      </xdr:txBody>
    </xdr:sp>
    <xdr:clientData/>
  </xdr:twoCellAnchor>
  <xdr:twoCellAnchor>
    <xdr:from>
      <xdr:col>11</xdr:col>
      <xdr:colOff>318939</xdr:colOff>
      <xdr:row>6</xdr:row>
      <xdr:rowOff>120823</xdr:rowOff>
    </xdr:from>
    <xdr:to>
      <xdr:col>15</xdr:col>
      <xdr:colOff>308217</xdr:colOff>
      <xdr:row>8</xdr:row>
      <xdr:rowOff>44295</xdr:rowOff>
    </xdr:to>
    <xdr:sp macro="" textlink="Settings!$B$9">
      <xdr:nvSpPr>
        <xdr:cNvPr id="41" name="テキスト ボックス 40"/>
        <xdr:cNvSpPr txBox="1"/>
      </xdr:nvSpPr>
      <xdr:spPr>
        <a:xfrm>
          <a:off x="8348514" y="1149523"/>
          <a:ext cx="2122878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D54BB7C-4B5D-4BD1-99D0-21C6A2E888EC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1：製品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520742</xdr:colOff>
      <xdr:row>6</xdr:row>
      <xdr:rowOff>120823</xdr:rowOff>
    </xdr:from>
    <xdr:to>
      <xdr:col>18</xdr:col>
      <xdr:colOff>247905</xdr:colOff>
      <xdr:row>8</xdr:row>
      <xdr:rowOff>44295</xdr:rowOff>
    </xdr:to>
    <xdr:sp macro="" textlink="">
      <xdr:nvSpPr>
        <xdr:cNvPr id="42" name="テキスト ボックス 41"/>
        <xdr:cNvSpPr txBox="1"/>
      </xdr:nvSpPr>
      <xdr:spPr>
        <a:xfrm>
          <a:off x="10683917" y="1149523"/>
          <a:ext cx="1374988" cy="266372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代表商品課</a:t>
          </a:r>
        </a:p>
      </xdr:txBody>
    </xdr:sp>
    <xdr:clientData/>
  </xdr:twoCellAnchor>
  <xdr:twoCellAnchor>
    <xdr:from>
      <xdr:col>18</xdr:col>
      <xdr:colOff>244588</xdr:colOff>
      <xdr:row>6</xdr:row>
      <xdr:rowOff>120823</xdr:rowOff>
    </xdr:from>
    <xdr:to>
      <xdr:col>22</xdr:col>
      <xdr:colOff>433021</xdr:colOff>
      <xdr:row>8</xdr:row>
      <xdr:rowOff>44295</xdr:rowOff>
    </xdr:to>
    <xdr:sp macro="" textlink="Settings!$B$10">
      <xdr:nvSpPr>
        <xdr:cNvPr id="43" name="テキスト ボックス 42"/>
        <xdr:cNvSpPr txBox="1"/>
      </xdr:nvSpPr>
      <xdr:spPr>
        <a:xfrm>
          <a:off x="12055588" y="1149523"/>
          <a:ext cx="2322033" cy="266372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18D872A5-31EF-4EE9-81E4-1F84C4CF9D83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10：１０課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166321</xdr:colOff>
      <xdr:row>4</xdr:row>
      <xdr:rowOff>111298</xdr:rowOff>
    </xdr:from>
    <xdr:to>
      <xdr:col>7</xdr:col>
      <xdr:colOff>386053</xdr:colOff>
      <xdr:row>6</xdr:row>
      <xdr:rowOff>30007</xdr:rowOff>
    </xdr:to>
    <xdr:sp macro="" textlink="">
      <xdr:nvSpPr>
        <xdr:cNvPr id="44" name="テキスト ボックス 43"/>
        <xdr:cNvSpPr txBox="1"/>
      </xdr:nvSpPr>
      <xdr:spPr>
        <a:xfrm>
          <a:off x="5262196" y="797098"/>
          <a:ext cx="648357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年度</a:t>
          </a:r>
        </a:p>
      </xdr:txBody>
    </xdr:sp>
    <xdr:clientData/>
  </xdr:twoCellAnchor>
  <xdr:twoCellAnchor>
    <xdr:from>
      <xdr:col>7</xdr:col>
      <xdr:colOff>386054</xdr:colOff>
      <xdr:row>4</xdr:row>
      <xdr:rowOff>111298</xdr:rowOff>
    </xdr:from>
    <xdr:to>
      <xdr:col>9</xdr:col>
      <xdr:colOff>152241</xdr:colOff>
      <xdr:row>6</xdr:row>
      <xdr:rowOff>30007</xdr:rowOff>
    </xdr:to>
    <xdr:sp macro="" textlink="Settings!$B$6">
      <xdr:nvSpPr>
        <xdr:cNvPr id="45" name="テキスト ボックス 44"/>
        <xdr:cNvSpPr txBox="1"/>
      </xdr:nvSpPr>
      <xdr:spPr>
        <a:xfrm>
          <a:off x="5910554" y="797098"/>
          <a:ext cx="1156837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821DEBE-5FA2-436D-8443-D53AB80CEC8D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2025</a:t>
          </a:fld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411572</xdr:colOff>
      <xdr:row>4</xdr:row>
      <xdr:rowOff>111298</xdr:rowOff>
    </xdr:from>
    <xdr:to>
      <xdr:col>11</xdr:col>
      <xdr:colOff>328660</xdr:colOff>
      <xdr:row>6</xdr:row>
      <xdr:rowOff>30007</xdr:rowOff>
    </xdr:to>
    <xdr:sp macro="" textlink="">
      <xdr:nvSpPr>
        <xdr:cNvPr id="46" name="テキスト ボックス 45"/>
        <xdr:cNvSpPr txBox="1"/>
      </xdr:nvSpPr>
      <xdr:spPr>
        <a:xfrm>
          <a:off x="7326722" y="797098"/>
          <a:ext cx="1031513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会社</a:t>
          </a:r>
        </a:p>
      </xdr:txBody>
    </xdr:sp>
    <xdr:clientData/>
  </xdr:twoCellAnchor>
  <xdr:twoCellAnchor>
    <xdr:from>
      <xdr:col>11</xdr:col>
      <xdr:colOff>318939</xdr:colOff>
      <xdr:row>4</xdr:row>
      <xdr:rowOff>111298</xdr:rowOff>
    </xdr:from>
    <xdr:to>
      <xdr:col>15</xdr:col>
      <xdr:colOff>308217</xdr:colOff>
      <xdr:row>6</xdr:row>
      <xdr:rowOff>30007</xdr:rowOff>
    </xdr:to>
    <xdr:sp macro="" textlink="Settings!$B$7">
      <xdr:nvSpPr>
        <xdr:cNvPr id="47" name="テキスト ボックス 46"/>
        <xdr:cNvSpPr txBox="1"/>
      </xdr:nvSpPr>
      <xdr:spPr>
        <a:xfrm>
          <a:off x="8348514" y="797098"/>
          <a:ext cx="2122878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F1A00DC-9557-455D-9173-CFE5CFAEEB3D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00000：キング（全社）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520742</xdr:colOff>
      <xdr:row>4</xdr:row>
      <xdr:rowOff>111298</xdr:rowOff>
    </xdr:from>
    <xdr:to>
      <xdr:col>18</xdr:col>
      <xdr:colOff>247905</xdr:colOff>
      <xdr:row>6</xdr:row>
      <xdr:rowOff>30007</xdr:rowOff>
    </xdr:to>
    <xdr:sp macro="" textlink="">
      <xdr:nvSpPr>
        <xdr:cNvPr id="48" name="テキスト ボックス 47"/>
        <xdr:cNvSpPr txBox="1"/>
      </xdr:nvSpPr>
      <xdr:spPr>
        <a:xfrm>
          <a:off x="10683917" y="797098"/>
          <a:ext cx="1374988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部</a:t>
          </a:r>
        </a:p>
      </xdr:txBody>
    </xdr:sp>
    <xdr:clientData/>
  </xdr:twoCellAnchor>
  <xdr:twoCellAnchor>
    <xdr:from>
      <xdr:col>18</xdr:col>
      <xdr:colOff>244588</xdr:colOff>
      <xdr:row>4</xdr:row>
      <xdr:rowOff>111298</xdr:rowOff>
    </xdr:from>
    <xdr:to>
      <xdr:col>22</xdr:col>
      <xdr:colOff>433021</xdr:colOff>
      <xdr:row>6</xdr:row>
      <xdr:rowOff>30007</xdr:rowOff>
    </xdr:to>
    <xdr:sp macro="" textlink="Settings!$B$8">
      <xdr:nvSpPr>
        <xdr:cNvPr id="49" name="テキスト ボックス 48"/>
        <xdr:cNvSpPr txBox="1"/>
      </xdr:nvSpPr>
      <xdr:spPr>
        <a:xfrm>
          <a:off x="12055588" y="797098"/>
          <a:ext cx="2322033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FFEC9CE-4C34-4B60-8644-CEF9B28FA5C8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12726：テナント・東京本社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156796</xdr:colOff>
      <xdr:row>2</xdr:row>
      <xdr:rowOff>101773</xdr:rowOff>
    </xdr:from>
    <xdr:to>
      <xdr:col>7</xdr:col>
      <xdr:colOff>803253</xdr:colOff>
      <xdr:row>4</xdr:row>
      <xdr:rowOff>20482</xdr:rowOff>
    </xdr:to>
    <xdr:sp macro="" textlink="">
      <xdr:nvSpPr>
        <xdr:cNvPr id="50" name="テキスト ボックス 49"/>
        <xdr:cNvSpPr txBox="1"/>
      </xdr:nvSpPr>
      <xdr:spPr>
        <a:xfrm>
          <a:off x="5252671" y="444673"/>
          <a:ext cx="1075082" cy="261609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入力表</a:t>
          </a:r>
        </a:p>
      </xdr:txBody>
    </xdr:sp>
    <xdr:clientData/>
  </xdr:twoCellAnchor>
  <xdr:twoCellAnchor>
    <xdr:from>
      <xdr:col>7</xdr:col>
      <xdr:colOff>803254</xdr:colOff>
      <xdr:row>2</xdr:row>
      <xdr:rowOff>101773</xdr:rowOff>
    </xdr:from>
    <xdr:to>
      <xdr:col>13</xdr:col>
      <xdr:colOff>264884</xdr:colOff>
      <xdr:row>4</xdr:row>
      <xdr:rowOff>20482</xdr:rowOff>
    </xdr:to>
    <xdr:sp macro="" textlink="Settings!$B$5">
      <xdr:nvSpPr>
        <xdr:cNvPr id="51" name="テキスト ボックス 50"/>
        <xdr:cNvSpPr txBox="1"/>
      </xdr:nvSpPr>
      <xdr:spPr>
        <a:xfrm>
          <a:off x="6327754" y="444673"/>
          <a:ext cx="3033505" cy="2616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40164D6A-2C4B-4A32-B00F-EF500078A230}" type="TxLink">
            <a:rPr kumimoji="1" lang="ja-JP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商品課別営業予算</a:t>
          </a:fld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577865</xdr:colOff>
      <xdr:row>0</xdr:row>
      <xdr:rowOff>122136</xdr:rowOff>
    </xdr:from>
    <xdr:to>
      <xdr:col>12</xdr:col>
      <xdr:colOff>375870</xdr:colOff>
      <xdr:row>2</xdr:row>
      <xdr:rowOff>46265</xdr:rowOff>
    </xdr:to>
    <xdr:sp macro="" textlink="[2]Settings!$B$4">
      <xdr:nvSpPr>
        <xdr:cNvPr id="52" name="テキスト ボックス 51"/>
        <xdr:cNvSpPr txBox="1"/>
      </xdr:nvSpPr>
      <xdr:spPr>
        <a:xfrm>
          <a:off x="5064140" y="122136"/>
          <a:ext cx="3874705" cy="2670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F78BE2B-7F7E-4635-97D0-1E7160AED2CA}" type="TxLink">
            <a:rPr kumimoji="1" lang="ja-JP" altLang="en-US" sz="1600" b="1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pPr algn="l"/>
            <a:t>社内売上・商品課別営業予算</a:t>
          </a:fld>
          <a:endParaRPr kumimoji="1" lang="ja-JP" altLang="en-US" sz="16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471;&#12531;&#12539;&#21830;&#21697;&#35506;&#21029;&#21942;&#26989;&#35211;&#36890;&#1237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2471;&#12531;&#12539;&#31038;&#20869;&#22770;&#19978;&#20225;&#30011;&#6533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課別営業見通し"/>
      <sheetName val="Settings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社内売上企画Ｒ表"/>
      <sheetName val="Setting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X34"/>
  <sheetViews>
    <sheetView tabSelected="1" zoomScale="115" zoomScaleNormal="115" workbookViewId="0">
      <selection activeCell="E5" sqref="E5"/>
    </sheetView>
  </sheetViews>
  <sheetFormatPr defaultColWidth="9" defaultRowHeight="13.5" x14ac:dyDescent="0.15"/>
  <cols>
    <col min="1" max="2" width="12.875" style="3" bestFit="1" customWidth="1"/>
    <col min="3" max="3" width="14.375" style="3" bestFit="1" customWidth="1"/>
    <col min="4" max="4" width="9.375" style="3" bestFit="1" customWidth="1"/>
    <col min="5" max="5" width="9.375" style="3" customWidth="1"/>
    <col min="6" max="6" width="8" style="3" bestFit="1" customWidth="1"/>
    <col min="7" max="7" width="7.125" style="3" bestFit="1" customWidth="1"/>
    <col min="8" max="8" width="10.625" style="3" customWidth="1"/>
    <col min="9" max="10" width="7.625" style="3" customWidth="1"/>
    <col min="11" max="16" width="7" style="3" customWidth="1"/>
    <col min="17" max="17" width="7.625" style="3" customWidth="1"/>
    <col min="18" max="23" width="7" style="3" customWidth="1"/>
    <col min="24" max="16384" width="9" style="3"/>
  </cols>
  <sheetData>
    <row r="2" spans="1:24" x14ac:dyDescent="0.15">
      <c r="A2" s="47"/>
      <c r="B2" s="47"/>
      <c r="C2" s="47"/>
      <c r="D2" s="47"/>
      <c r="E2" s="47"/>
      <c r="F2" s="47"/>
      <c r="X2" s="8"/>
    </row>
    <row r="3" spans="1:24" x14ac:dyDescent="0.15">
      <c r="A3" s="47"/>
      <c r="B3" s="47"/>
      <c r="C3" s="47"/>
      <c r="D3" s="47"/>
      <c r="E3" s="47"/>
      <c r="F3" s="47"/>
      <c r="X3" s="8"/>
    </row>
    <row r="4" spans="1:24" x14ac:dyDescent="0.15">
      <c r="A4" s="47"/>
      <c r="B4" s="47"/>
      <c r="C4" s="47"/>
      <c r="D4" s="47"/>
      <c r="E4" s="47"/>
      <c r="F4" s="47"/>
      <c r="X4" s="8"/>
    </row>
    <row r="5" spans="1:24" x14ac:dyDescent="0.15">
      <c r="A5" s="47"/>
      <c r="B5" s="47"/>
      <c r="C5" s="47"/>
      <c r="D5" s="47"/>
      <c r="E5" s="47"/>
      <c r="F5" s="47"/>
      <c r="X5" s="8"/>
    </row>
    <row r="6" spans="1:24" x14ac:dyDescent="0.15">
      <c r="A6" s="47"/>
      <c r="B6" s="47"/>
      <c r="C6" s="47"/>
      <c r="D6" s="47"/>
      <c r="E6" s="47"/>
      <c r="F6" s="47"/>
      <c r="X6" s="8"/>
    </row>
    <row r="7" spans="1:24" x14ac:dyDescent="0.15">
      <c r="A7" s="47"/>
      <c r="B7" s="47"/>
      <c r="C7" s="47"/>
      <c r="D7" s="47"/>
      <c r="E7" s="47"/>
      <c r="F7" s="47"/>
      <c r="X7" s="8"/>
    </row>
    <row r="8" spans="1:24" x14ac:dyDescent="0.15">
      <c r="A8" s="47"/>
      <c r="B8" s="47"/>
      <c r="C8" s="47"/>
      <c r="D8" s="47"/>
      <c r="E8" s="47"/>
      <c r="F8" s="47"/>
      <c r="X8" s="8"/>
    </row>
    <row r="9" spans="1:24" x14ac:dyDescent="0.15">
      <c r="A9" s="47"/>
      <c r="B9" s="47"/>
      <c r="C9" s="47"/>
      <c r="D9" s="47"/>
      <c r="E9" s="47"/>
      <c r="F9" s="47"/>
      <c r="X9" s="8"/>
    </row>
    <row r="10" spans="1:24" x14ac:dyDescent="0.15">
      <c r="A10" s="47"/>
      <c r="B10" s="47"/>
      <c r="C10" s="47"/>
      <c r="D10" s="47"/>
      <c r="E10" s="47"/>
      <c r="F10" s="47"/>
      <c r="X10" s="8"/>
    </row>
    <row r="11" spans="1:24" x14ac:dyDescent="0.15">
      <c r="A11" s="57"/>
      <c r="B11" s="47"/>
      <c r="C11" s="47"/>
      <c r="D11" s="47"/>
      <c r="E11" s="47"/>
      <c r="F11" s="47"/>
      <c r="X11" s="8"/>
    </row>
    <row r="12" spans="1:24" ht="13.5" customHeight="1" x14ac:dyDescent="0.15">
      <c r="A12" s="48" t="s">
        <v>43</v>
      </c>
      <c r="B12" s="48" t="s">
        <v>44</v>
      </c>
      <c r="C12" s="48" t="s">
        <v>46</v>
      </c>
      <c r="D12" s="48" t="s">
        <v>5</v>
      </c>
      <c r="E12" s="48" t="s">
        <v>7</v>
      </c>
      <c r="F12" s="48" t="s">
        <v>4</v>
      </c>
      <c r="G12" s="23" t="s">
        <v>47</v>
      </c>
      <c r="H12" s="5" t="s">
        <v>0</v>
      </c>
      <c r="I12" s="4" t="s">
        <v>48</v>
      </c>
      <c r="J12" s="4" t="s">
        <v>1</v>
      </c>
      <c r="K12" s="19" t="s">
        <v>8</v>
      </c>
      <c r="L12" s="20" t="s">
        <v>9</v>
      </c>
      <c r="M12" s="20" t="s">
        <v>9</v>
      </c>
      <c r="N12" s="20" t="s">
        <v>9</v>
      </c>
      <c r="O12" s="20" t="s">
        <v>9</v>
      </c>
      <c r="P12" s="21" t="s">
        <v>9</v>
      </c>
      <c r="Q12" s="4" t="s">
        <v>2</v>
      </c>
      <c r="R12" s="19" t="s">
        <v>8</v>
      </c>
      <c r="S12" s="20" t="s">
        <v>9</v>
      </c>
      <c r="T12" s="20" t="s">
        <v>9</v>
      </c>
      <c r="U12" s="20" t="s">
        <v>9</v>
      </c>
      <c r="V12" s="20" t="s">
        <v>9</v>
      </c>
      <c r="W12" s="21" t="s">
        <v>9</v>
      </c>
      <c r="X12" s="8"/>
    </row>
    <row r="13" spans="1:24" ht="13.5" customHeight="1" x14ac:dyDescent="0.15">
      <c r="A13" s="49" t="s">
        <v>3</v>
      </c>
      <c r="B13" s="49" t="s">
        <v>42</v>
      </c>
      <c r="C13" s="49"/>
      <c r="D13" s="50" t="s">
        <v>6</v>
      </c>
      <c r="E13" s="49" t="s">
        <v>41</v>
      </c>
      <c r="F13" s="49" t="s">
        <v>3</v>
      </c>
      <c r="G13" s="24" t="s">
        <v>14</v>
      </c>
      <c r="H13" s="6" t="s">
        <v>10</v>
      </c>
      <c r="I13" s="1">
        <f>J13+Q13</f>
        <v>0</v>
      </c>
      <c r="J13" s="1">
        <f t="shared" ref="J13:J28" si="0">SUM(K13:P13)</f>
        <v>0</v>
      </c>
      <c r="K13" s="22"/>
      <c r="L13" s="26">
        <f>K29</f>
        <v>0</v>
      </c>
      <c r="M13" s="26">
        <f>L29</f>
        <v>0</v>
      </c>
      <c r="N13" s="26">
        <f>M29</f>
        <v>0</v>
      </c>
      <c r="O13" s="26">
        <f>N29</f>
        <v>0</v>
      </c>
      <c r="P13" s="27">
        <f>O29</f>
        <v>0</v>
      </c>
      <c r="Q13" s="1">
        <f t="shared" ref="Q13:Q30" si="1">SUM(R13:W13)</f>
        <v>0</v>
      </c>
      <c r="R13" s="28">
        <f>P29</f>
        <v>0</v>
      </c>
      <c r="S13" s="29">
        <f>R29</f>
        <v>0</v>
      </c>
      <c r="T13" s="29">
        <f>S29</f>
        <v>0</v>
      </c>
      <c r="U13" s="29">
        <f>T29</f>
        <v>0</v>
      </c>
      <c r="V13" s="29">
        <f>U29</f>
        <v>0</v>
      </c>
      <c r="W13" s="31">
        <f>V29</f>
        <v>0</v>
      </c>
    </row>
    <row r="14" spans="1:24" ht="13.5" customHeight="1" x14ac:dyDescent="0.15">
      <c r="A14" s="49" t="s">
        <v>3</v>
      </c>
      <c r="B14" s="49"/>
      <c r="C14" s="49"/>
      <c r="D14" s="50" t="s">
        <v>6</v>
      </c>
      <c r="E14" s="49" t="s">
        <v>3</v>
      </c>
      <c r="F14" s="49" t="s">
        <v>3</v>
      </c>
      <c r="G14" s="24" t="s">
        <v>27</v>
      </c>
      <c r="H14" s="7" t="s">
        <v>11</v>
      </c>
      <c r="I14" s="2">
        <f t="shared" ref="I14:I30" si="2">J14+Q14</f>
        <v>0</v>
      </c>
      <c r="J14" s="2">
        <f t="shared" si="0"/>
        <v>0</v>
      </c>
      <c r="K14" s="43"/>
      <c r="L14" s="44"/>
      <c r="M14" s="44"/>
      <c r="N14" s="44"/>
      <c r="O14" s="44"/>
      <c r="P14" s="45"/>
      <c r="Q14" s="2">
        <f t="shared" si="1"/>
        <v>0</v>
      </c>
      <c r="R14" s="9"/>
      <c r="S14" s="13"/>
      <c r="T14" s="13"/>
      <c r="U14" s="13"/>
      <c r="V14" s="13"/>
      <c r="W14" s="14"/>
    </row>
    <row r="15" spans="1:24" ht="13.5" customHeight="1" x14ac:dyDescent="0.15">
      <c r="A15" s="49" t="s">
        <v>3</v>
      </c>
      <c r="B15" s="49"/>
      <c r="C15" s="49"/>
      <c r="D15" s="50" t="s">
        <v>6</v>
      </c>
      <c r="E15" s="49" t="s">
        <v>3</v>
      </c>
      <c r="F15" s="49" t="s">
        <v>3</v>
      </c>
      <c r="G15" s="24" t="s">
        <v>28</v>
      </c>
      <c r="H15" s="7" t="s">
        <v>12</v>
      </c>
      <c r="I15" s="2">
        <f t="shared" si="2"/>
        <v>0</v>
      </c>
      <c r="J15" s="2">
        <f t="shared" si="0"/>
        <v>0</v>
      </c>
      <c r="K15" s="10"/>
      <c r="L15" s="11"/>
      <c r="M15" s="11"/>
      <c r="N15" s="11"/>
      <c r="O15" s="11"/>
      <c r="P15" s="11"/>
      <c r="Q15" s="2">
        <f t="shared" si="1"/>
        <v>0</v>
      </c>
      <c r="R15" s="13"/>
      <c r="S15" s="13"/>
      <c r="T15" s="13"/>
      <c r="U15" s="13"/>
      <c r="V15" s="13"/>
      <c r="W15" s="14"/>
    </row>
    <row r="16" spans="1:24" ht="13.5" customHeight="1" x14ac:dyDescent="0.15">
      <c r="A16" s="49" t="s">
        <v>3</v>
      </c>
      <c r="B16" s="49"/>
      <c r="C16" s="49"/>
      <c r="D16" s="50" t="s">
        <v>6</v>
      </c>
      <c r="E16" s="49" t="s">
        <v>3</v>
      </c>
      <c r="F16" s="49" t="s">
        <v>3</v>
      </c>
      <c r="G16" s="24" t="s">
        <v>29</v>
      </c>
      <c r="H16" s="7" t="s">
        <v>13</v>
      </c>
      <c r="I16" s="2">
        <f t="shared" si="2"/>
        <v>0</v>
      </c>
      <c r="J16" s="2">
        <f t="shared" si="0"/>
        <v>0</v>
      </c>
      <c r="K16" s="10"/>
      <c r="L16" s="10"/>
      <c r="M16" s="10"/>
      <c r="N16" s="10"/>
      <c r="O16" s="11"/>
      <c r="P16" s="12"/>
      <c r="Q16" s="2">
        <f t="shared" si="1"/>
        <v>0</v>
      </c>
      <c r="R16" s="15"/>
      <c r="S16" s="16"/>
      <c r="T16" s="16"/>
      <c r="U16" s="16"/>
      <c r="V16" s="16"/>
      <c r="W16" s="17"/>
    </row>
    <row r="17" spans="1:23" ht="13.5" customHeight="1" x14ac:dyDescent="0.15">
      <c r="A17" s="49" t="s">
        <v>3</v>
      </c>
      <c r="B17" s="49"/>
      <c r="C17" s="49"/>
      <c r="D17" s="50" t="s">
        <v>6</v>
      </c>
      <c r="E17" s="49" t="s">
        <v>3</v>
      </c>
      <c r="F17" s="49" t="s">
        <v>3</v>
      </c>
      <c r="G17" s="24" t="s">
        <v>30</v>
      </c>
      <c r="H17" s="7" t="s">
        <v>15</v>
      </c>
      <c r="I17" s="2">
        <f t="shared" si="2"/>
        <v>0</v>
      </c>
      <c r="J17" s="2">
        <f t="shared" si="0"/>
        <v>0</v>
      </c>
      <c r="K17" s="10"/>
      <c r="L17" s="11"/>
      <c r="M17" s="11"/>
      <c r="N17" s="11"/>
      <c r="O17" s="11"/>
      <c r="P17" s="11"/>
      <c r="Q17" s="2">
        <f t="shared" si="1"/>
        <v>0</v>
      </c>
      <c r="R17" s="15"/>
      <c r="S17" s="16"/>
      <c r="T17" s="16"/>
      <c r="U17" s="16"/>
      <c r="V17" s="16"/>
      <c r="W17" s="17"/>
    </row>
    <row r="18" spans="1:23" ht="13.5" customHeight="1" x14ac:dyDescent="0.15">
      <c r="A18" s="49" t="s">
        <v>3</v>
      </c>
      <c r="B18" s="49" t="s">
        <v>3</v>
      </c>
      <c r="C18" s="49" t="s">
        <v>45</v>
      </c>
      <c r="D18" s="50" t="s">
        <v>6</v>
      </c>
      <c r="E18" s="49" t="s">
        <v>3</v>
      </c>
      <c r="F18" s="49" t="s">
        <v>3</v>
      </c>
      <c r="G18" s="24" t="s">
        <v>59</v>
      </c>
      <c r="H18" s="7" t="s">
        <v>16</v>
      </c>
      <c r="I18" s="2">
        <f t="shared" si="2"/>
        <v>0</v>
      </c>
      <c r="J18" s="2">
        <f t="shared" si="0"/>
        <v>0</v>
      </c>
      <c r="K18" s="55">
        <f t="shared" ref="K18:P18" si="3">INT((K14+K15+K16+K17)*($A$11/100))</f>
        <v>0</v>
      </c>
      <c r="L18" s="55">
        <f t="shared" si="3"/>
        <v>0</v>
      </c>
      <c r="M18" s="55">
        <f t="shared" si="3"/>
        <v>0</v>
      </c>
      <c r="N18" s="55">
        <f t="shared" si="3"/>
        <v>0</v>
      </c>
      <c r="O18" s="55">
        <f t="shared" si="3"/>
        <v>0</v>
      </c>
      <c r="P18" s="55">
        <f t="shared" si="3"/>
        <v>0</v>
      </c>
      <c r="Q18" s="2">
        <f t="shared" si="1"/>
        <v>0</v>
      </c>
      <c r="R18" s="55">
        <f t="shared" ref="R18:W18" si="4">INT((R14+R15+R16+R17)*($A$11/100))</f>
        <v>0</v>
      </c>
      <c r="S18" s="55">
        <f t="shared" si="4"/>
        <v>0</v>
      </c>
      <c r="T18" s="55">
        <f t="shared" si="4"/>
        <v>0</v>
      </c>
      <c r="U18" s="55">
        <f t="shared" si="4"/>
        <v>0</v>
      </c>
      <c r="V18" s="55">
        <f t="shared" si="4"/>
        <v>0</v>
      </c>
      <c r="W18" s="56">
        <f t="shared" si="4"/>
        <v>0</v>
      </c>
    </row>
    <row r="19" spans="1:23" ht="13.5" customHeight="1" x14ac:dyDescent="0.15">
      <c r="A19" s="49" t="s">
        <v>3</v>
      </c>
      <c r="B19" s="49" t="s">
        <v>3</v>
      </c>
      <c r="C19" s="49"/>
      <c r="D19" s="50" t="s">
        <v>6</v>
      </c>
      <c r="E19" s="49" t="s">
        <v>3</v>
      </c>
      <c r="F19" s="49" t="s">
        <v>3</v>
      </c>
      <c r="G19" s="24" t="s">
        <v>31</v>
      </c>
      <c r="H19" s="7" t="s">
        <v>17</v>
      </c>
      <c r="I19" s="2">
        <f t="shared" si="2"/>
        <v>0</v>
      </c>
      <c r="J19" s="2">
        <f t="shared" si="0"/>
        <v>0</v>
      </c>
      <c r="K19" s="10"/>
      <c r="L19" s="10"/>
      <c r="M19" s="10"/>
      <c r="N19" s="10"/>
      <c r="O19" s="10"/>
      <c r="P19" s="10">
        <f>SUM(K19:O19)*-1</f>
        <v>0</v>
      </c>
      <c r="Q19" s="2">
        <f t="shared" si="1"/>
        <v>0</v>
      </c>
      <c r="R19" s="15"/>
      <c r="S19" s="16"/>
      <c r="T19" s="16"/>
      <c r="U19" s="16"/>
      <c r="V19" s="16"/>
      <c r="W19" s="18">
        <f>SUM(R19:V19)*-1</f>
        <v>0</v>
      </c>
    </row>
    <row r="20" spans="1:23" ht="13.5" customHeight="1" x14ac:dyDescent="0.15">
      <c r="A20" s="49" t="s">
        <v>3</v>
      </c>
      <c r="B20" s="49" t="s">
        <v>3</v>
      </c>
      <c r="C20" s="49"/>
      <c r="D20" s="50" t="s">
        <v>6</v>
      </c>
      <c r="E20" s="49" t="s">
        <v>3</v>
      </c>
      <c r="F20" s="49" t="s">
        <v>3</v>
      </c>
      <c r="G20" s="24" t="s">
        <v>32</v>
      </c>
      <c r="H20" s="7" t="s">
        <v>18</v>
      </c>
      <c r="I20" s="2">
        <f t="shared" si="2"/>
        <v>0</v>
      </c>
      <c r="J20" s="2">
        <f t="shared" si="0"/>
        <v>0</v>
      </c>
      <c r="K20" s="10"/>
      <c r="L20" s="11"/>
      <c r="M20" s="11"/>
      <c r="N20" s="11"/>
      <c r="O20" s="11"/>
      <c r="P20" s="12"/>
      <c r="Q20" s="2">
        <f t="shared" si="1"/>
        <v>0</v>
      </c>
      <c r="R20" s="15"/>
      <c r="S20" s="16"/>
      <c r="T20" s="16"/>
      <c r="U20" s="16"/>
      <c r="V20" s="16"/>
      <c r="W20" s="17"/>
    </row>
    <row r="21" spans="1:23" ht="13.5" customHeight="1" x14ac:dyDescent="0.15">
      <c r="A21" s="49"/>
      <c r="B21" s="49"/>
      <c r="C21" s="49"/>
      <c r="D21" s="50" t="s">
        <v>6</v>
      </c>
      <c r="E21" s="49" t="s">
        <v>3</v>
      </c>
      <c r="F21" s="49" t="s">
        <v>3</v>
      </c>
      <c r="G21" s="24" t="s">
        <v>49</v>
      </c>
      <c r="H21" s="7" t="s">
        <v>50</v>
      </c>
      <c r="I21" s="2">
        <f t="shared" si="2"/>
        <v>0</v>
      </c>
      <c r="J21" s="2">
        <f t="shared" si="0"/>
        <v>0</v>
      </c>
      <c r="K21" s="28"/>
      <c r="L21" s="29"/>
      <c r="M21" s="29"/>
      <c r="N21" s="29"/>
      <c r="O21" s="29"/>
      <c r="P21" s="30"/>
      <c r="Q21" s="2">
        <f t="shared" si="1"/>
        <v>0</v>
      </c>
      <c r="R21" s="28"/>
      <c r="S21" s="29"/>
      <c r="T21" s="29"/>
      <c r="U21" s="29"/>
      <c r="V21" s="29"/>
      <c r="W21" s="31"/>
    </row>
    <row r="22" spans="1:23" ht="13.5" customHeight="1" x14ac:dyDescent="0.15">
      <c r="A22" s="49"/>
      <c r="B22" s="49"/>
      <c r="C22" s="49"/>
      <c r="D22" s="50" t="s">
        <v>6</v>
      </c>
      <c r="E22" s="49"/>
      <c r="F22" s="49" t="s">
        <v>3</v>
      </c>
      <c r="G22" s="24" t="s">
        <v>33</v>
      </c>
      <c r="H22" s="7" t="s">
        <v>19</v>
      </c>
      <c r="I22" s="2">
        <f t="shared" si="2"/>
        <v>0</v>
      </c>
      <c r="J22" s="2">
        <f t="shared" si="0"/>
        <v>0</v>
      </c>
      <c r="K22" s="28">
        <f t="shared" ref="K22:P22" si="5">K25-K23-K24</f>
        <v>0</v>
      </c>
      <c r="L22" s="29">
        <f t="shared" si="5"/>
        <v>0</v>
      </c>
      <c r="M22" s="29">
        <f t="shared" si="5"/>
        <v>0</v>
      </c>
      <c r="N22" s="29">
        <f t="shared" si="5"/>
        <v>0</v>
      </c>
      <c r="O22" s="29">
        <f t="shared" si="5"/>
        <v>0</v>
      </c>
      <c r="P22" s="30">
        <f t="shared" si="5"/>
        <v>0</v>
      </c>
      <c r="Q22" s="2">
        <f t="shared" si="1"/>
        <v>0</v>
      </c>
      <c r="R22" s="28">
        <f t="shared" ref="R22:W22" si="6">R25-R23-R24</f>
        <v>0</v>
      </c>
      <c r="S22" s="29">
        <f t="shared" si="6"/>
        <v>0</v>
      </c>
      <c r="T22" s="29">
        <f t="shared" si="6"/>
        <v>0</v>
      </c>
      <c r="U22" s="29">
        <f t="shared" si="6"/>
        <v>0</v>
      </c>
      <c r="V22" s="29">
        <f t="shared" si="6"/>
        <v>0</v>
      </c>
      <c r="W22" s="31">
        <f t="shared" si="6"/>
        <v>0</v>
      </c>
    </row>
    <row r="23" spans="1:23" ht="13.5" customHeight="1" x14ac:dyDescent="0.15">
      <c r="A23" s="49" t="s">
        <v>3</v>
      </c>
      <c r="B23" s="49" t="s">
        <v>3</v>
      </c>
      <c r="C23" s="49"/>
      <c r="D23" s="50" t="s">
        <v>6</v>
      </c>
      <c r="E23" s="49" t="s">
        <v>3</v>
      </c>
      <c r="F23" s="49" t="s">
        <v>3</v>
      </c>
      <c r="G23" s="24" t="s">
        <v>34</v>
      </c>
      <c r="H23" s="7" t="s">
        <v>20</v>
      </c>
      <c r="I23" s="2">
        <f t="shared" si="2"/>
        <v>0</v>
      </c>
      <c r="J23" s="2">
        <f t="shared" si="0"/>
        <v>0</v>
      </c>
      <c r="K23" s="10"/>
      <c r="L23" s="11"/>
      <c r="M23" s="11"/>
      <c r="N23" s="11"/>
      <c r="O23" s="11"/>
      <c r="P23" s="12"/>
      <c r="Q23" s="2">
        <f t="shared" si="1"/>
        <v>0</v>
      </c>
      <c r="R23" s="10"/>
      <c r="S23" s="11"/>
      <c r="T23" s="11"/>
      <c r="U23" s="11"/>
      <c r="V23" s="11"/>
      <c r="W23" s="18"/>
    </row>
    <row r="24" spans="1:23" ht="13.5" customHeight="1" x14ac:dyDescent="0.15">
      <c r="A24" s="49" t="s">
        <v>3</v>
      </c>
      <c r="B24" s="49" t="s">
        <v>3</v>
      </c>
      <c r="C24" s="49"/>
      <c r="D24" s="50" t="s">
        <v>6</v>
      </c>
      <c r="E24" s="49" t="s">
        <v>3</v>
      </c>
      <c r="F24" s="49" t="s">
        <v>3</v>
      </c>
      <c r="G24" s="24" t="s">
        <v>35</v>
      </c>
      <c r="H24" s="7" t="s">
        <v>21</v>
      </c>
      <c r="I24" s="2">
        <f t="shared" si="2"/>
        <v>0</v>
      </c>
      <c r="J24" s="2">
        <f t="shared" si="0"/>
        <v>0</v>
      </c>
      <c r="K24" s="10"/>
      <c r="L24" s="10"/>
      <c r="M24" s="10"/>
      <c r="N24" s="10"/>
      <c r="O24" s="10"/>
      <c r="P24" s="10"/>
      <c r="Q24" s="2">
        <f t="shared" si="1"/>
        <v>0</v>
      </c>
      <c r="R24" s="10"/>
      <c r="S24" s="10"/>
      <c r="T24" s="10"/>
      <c r="U24" s="10"/>
      <c r="V24" s="10"/>
      <c r="W24" s="46"/>
    </row>
    <row r="25" spans="1:23" ht="13.5" customHeight="1" x14ac:dyDescent="0.15">
      <c r="A25" s="49" t="s">
        <v>3</v>
      </c>
      <c r="B25" s="49" t="s">
        <v>3</v>
      </c>
      <c r="C25" s="49"/>
      <c r="D25" s="50" t="s">
        <v>6</v>
      </c>
      <c r="E25" s="49" t="s">
        <v>3</v>
      </c>
      <c r="F25" s="49" t="s">
        <v>3</v>
      </c>
      <c r="G25" s="24" t="s">
        <v>36</v>
      </c>
      <c r="H25" s="7" t="s">
        <v>22</v>
      </c>
      <c r="I25" s="2">
        <f t="shared" si="2"/>
        <v>0</v>
      </c>
      <c r="J25" s="2">
        <f t="shared" si="0"/>
        <v>0</v>
      </c>
      <c r="K25" s="10"/>
      <c r="L25" s="10"/>
      <c r="M25" s="10"/>
      <c r="N25" s="10"/>
      <c r="O25" s="10"/>
      <c r="P25" s="10"/>
      <c r="Q25" s="2">
        <f t="shared" si="1"/>
        <v>0</v>
      </c>
      <c r="R25" s="10"/>
      <c r="S25" s="10"/>
      <c r="T25" s="10"/>
      <c r="U25" s="10"/>
      <c r="V25" s="10"/>
      <c r="W25" s="46"/>
    </row>
    <row r="26" spans="1:23" ht="13.5" customHeight="1" x14ac:dyDescent="0.15">
      <c r="A26" s="49" t="s">
        <v>3</v>
      </c>
      <c r="B26" s="49" t="s">
        <v>3</v>
      </c>
      <c r="C26" s="49"/>
      <c r="D26" s="50" t="s">
        <v>6</v>
      </c>
      <c r="E26" s="49" t="s">
        <v>3</v>
      </c>
      <c r="F26" s="49" t="s">
        <v>3</v>
      </c>
      <c r="G26" s="24" t="s">
        <v>37</v>
      </c>
      <c r="H26" s="7" t="s">
        <v>23</v>
      </c>
      <c r="I26" s="2">
        <f t="shared" si="2"/>
        <v>0</v>
      </c>
      <c r="J26" s="2">
        <f t="shared" si="0"/>
        <v>0</v>
      </c>
      <c r="K26" s="10"/>
      <c r="L26" s="11"/>
      <c r="M26" s="11"/>
      <c r="N26" s="11"/>
      <c r="O26" s="11"/>
      <c r="P26" s="12"/>
      <c r="Q26" s="2">
        <f t="shared" si="1"/>
        <v>0</v>
      </c>
      <c r="R26" s="10"/>
      <c r="S26" s="11"/>
      <c r="T26" s="11"/>
      <c r="U26" s="11"/>
      <c r="V26" s="11"/>
      <c r="W26" s="18"/>
    </row>
    <row r="27" spans="1:23" ht="13.5" customHeight="1" x14ac:dyDescent="0.15">
      <c r="A27" s="49" t="s">
        <v>3</v>
      </c>
      <c r="B27" s="49" t="s">
        <v>3</v>
      </c>
      <c r="C27" s="49"/>
      <c r="D27" s="50" t="s">
        <v>6</v>
      </c>
      <c r="E27" s="49" t="s">
        <v>3</v>
      </c>
      <c r="F27" s="49" t="s">
        <v>3</v>
      </c>
      <c r="G27" s="24" t="s">
        <v>51</v>
      </c>
      <c r="H27" s="7" t="s">
        <v>52</v>
      </c>
      <c r="I27" s="2">
        <f t="shared" si="2"/>
        <v>0</v>
      </c>
      <c r="J27" s="2">
        <f t="shared" si="0"/>
        <v>0</v>
      </c>
      <c r="K27" s="10"/>
      <c r="L27" s="11"/>
      <c r="M27" s="11"/>
      <c r="N27" s="11"/>
      <c r="O27" s="11"/>
      <c r="P27" s="12"/>
      <c r="Q27" s="2">
        <f t="shared" si="1"/>
        <v>0</v>
      </c>
      <c r="R27" s="10"/>
      <c r="S27" s="11"/>
      <c r="T27" s="11"/>
      <c r="U27" s="11"/>
      <c r="V27" s="11"/>
      <c r="W27" s="18"/>
    </row>
    <row r="28" spans="1:23" ht="13.5" customHeight="1" x14ac:dyDescent="0.15">
      <c r="A28" s="49"/>
      <c r="B28" s="49"/>
      <c r="C28" s="49"/>
      <c r="D28" s="50" t="s">
        <v>6</v>
      </c>
      <c r="E28" s="49" t="s">
        <v>3</v>
      </c>
      <c r="F28" s="49" t="s">
        <v>3</v>
      </c>
      <c r="G28" s="24" t="s">
        <v>38</v>
      </c>
      <c r="H28" s="7" t="s">
        <v>24</v>
      </c>
      <c r="I28" s="2">
        <f t="shared" si="2"/>
        <v>0</v>
      </c>
      <c r="J28" s="2">
        <f t="shared" si="0"/>
        <v>0</v>
      </c>
      <c r="K28" s="28"/>
      <c r="L28" s="29"/>
      <c r="M28" s="29"/>
      <c r="N28" s="29"/>
      <c r="O28" s="29"/>
      <c r="P28" s="30"/>
      <c r="Q28" s="2">
        <f t="shared" si="1"/>
        <v>0</v>
      </c>
      <c r="R28" s="28"/>
      <c r="S28" s="29"/>
      <c r="T28" s="29"/>
      <c r="U28" s="29"/>
      <c r="V28" s="29"/>
      <c r="W28" s="31"/>
    </row>
    <row r="29" spans="1:23" ht="13.5" customHeight="1" x14ac:dyDescent="0.15">
      <c r="A29" s="49"/>
      <c r="B29" s="49"/>
      <c r="C29" s="51"/>
      <c r="D29" s="50" t="s">
        <v>3</v>
      </c>
      <c r="E29" s="49"/>
      <c r="F29" s="49" t="s">
        <v>3</v>
      </c>
      <c r="G29" s="24" t="s">
        <v>39</v>
      </c>
      <c r="H29" s="7" t="s">
        <v>25</v>
      </c>
      <c r="I29" s="2">
        <f t="shared" si="2"/>
        <v>0</v>
      </c>
      <c r="J29" s="2">
        <f>SUM(K29:P29)</f>
        <v>0</v>
      </c>
      <c r="K29" s="28">
        <f t="shared" ref="K29:P29" si="7">K30+SUM(K13:K21)-(K22+K26+K27+K28+K23+K24)</f>
        <v>0</v>
      </c>
      <c r="L29" s="28">
        <f t="shared" si="7"/>
        <v>0</v>
      </c>
      <c r="M29" s="28">
        <f t="shared" si="7"/>
        <v>0</v>
      </c>
      <c r="N29" s="28">
        <f t="shared" si="7"/>
        <v>0</v>
      </c>
      <c r="O29" s="28">
        <f t="shared" si="7"/>
        <v>0</v>
      </c>
      <c r="P29" s="28">
        <f t="shared" si="7"/>
        <v>0</v>
      </c>
      <c r="Q29" s="2">
        <f t="shared" si="1"/>
        <v>0</v>
      </c>
      <c r="R29" s="28">
        <f t="shared" ref="R29:W29" si="8">R30+SUM(R13:R21)-(R22+R26+R27+R28+R23+R24)</f>
        <v>0</v>
      </c>
      <c r="S29" s="28">
        <f t="shared" si="8"/>
        <v>0</v>
      </c>
      <c r="T29" s="28">
        <f t="shared" si="8"/>
        <v>0</v>
      </c>
      <c r="U29" s="28">
        <f t="shared" si="8"/>
        <v>0</v>
      </c>
      <c r="V29" s="28">
        <f t="shared" si="8"/>
        <v>0</v>
      </c>
      <c r="W29" s="31">
        <f t="shared" si="8"/>
        <v>0</v>
      </c>
    </row>
    <row r="30" spans="1:23" ht="13.5" customHeight="1" x14ac:dyDescent="0.15">
      <c r="A30" s="49" t="s">
        <v>3</v>
      </c>
      <c r="B30" s="49" t="s">
        <v>3</v>
      </c>
      <c r="C30" s="51"/>
      <c r="D30" s="50" t="s">
        <v>3</v>
      </c>
      <c r="E30" s="49" t="s">
        <v>3</v>
      </c>
      <c r="F30" s="49" t="s">
        <v>3</v>
      </c>
      <c r="G30" s="24" t="s">
        <v>40</v>
      </c>
      <c r="H30" s="7" t="s">
        <v>26</v>
      </c>
      <c r="I30" s="2">
        <f t="shared" si="2"/>
        <v>0</v>
      </c>
      <c r="J30" s="2">
        <f>SUM(K30:P30)</f>
        <v>0</v>
      </c>
      <c r="K30" s="10"/>
      <c r="L30" s="11"/>
      <c r="M30" s="11"/>
      <c r="N30" s="11"/>
      <c r="O30" s="11"/>
      <c r="P30" s="12"/>
      <c r="Q30" s="2">
        <f t="shared" si="1"/>
        <v>0</v>
      </c>
      <c r="R30" s="10"/>
      <c r="S30" s="11"/>
      <c r="T30" s="11"/>
      <c r="U30" s="11"/>
      <c r="V30" s="11"/>
      <c r="W30" s="18"/>
    </row>
    <row r="31" spans="1:23" ht="13.5" customHeight="1" x14ac:dyDescent="0.15">
      <c r="A31" s="49"/>
      <c r="B31" s="49"/>
      <c r="C31" s="51"/>
      <c r="D31" s="50" t="s">
        <v>3</v>
      </c>
      <c r="E31" s="49" t="s">
        <v>3</v>
      </c>
      <c r="F31" s="49" t="s">
        <v>3</v>
      </c>
      <c r="G31" s="24" t="s">
        <v>53</v>
      </c>
      <c r="H31" s="7" t="s">
        <v>54</v>
      </c>
      <c r="I31" s="2">
        <f>J31+Q31</f>
        <v>0</v>
      </c>
      <c r="J31" s="2">
        <f>SUM(K31:P31)</f>
        <v>0</v>
      </c>
      <c r="K31" s="28"/>
      <c r="L31" s="29"/>
      <c r="M31" s="29"/>
      <c r="N31" s="29"/>
      <c r="O31" s="29"/>
      <c r="P31" s="30"/>
      <c r="Q31" s="2">
        <f>SUM(R31:W31)</f>
        <v>0</v>
      </c>
      <c r="R31" s="28"/>
      <c r="S31" s="29"/>
      <c r="T31" s="29"/>
      <c r="U31" s="29"/>
      <c r="V31" s="29"/>
      <c r="W31" s="31"/>
    </row>
    <row r="32" spans="1:23" ht="13.5" customHeight="1" x14ac:dyDescent="0.15">
      <c r="A32" s="49"/>
      <c r="B32" s="49"/>
      <c r="C32" s="51"/>
      <c r="D32" s="50" t="s">
        <v>3</v>
      </c>
      <c r="E32" s="49" t="s">
        <v>3</v>
      </c>
      <c r="F32" s="49" t="s">
        <v>3</v>
      </c>
      <c r="G32" s="24" t="s">
        <v>55</v>
      </c>
      <c r="H32" s="7" t="s">
        <v>56</v>
      </c>
      <c r="I32" s="32">
        <f>J32+Q32</f>
        <v>0</v>
      </c>
      <c r="J32" s="32">
        <f>SUM(K32:P32)</f>
        <v>0</v>
      </c>
      <c r="K32" s="33"/>
      <c r="L32" s="34"/>
      <c r="M32" s="34"/>
      <c r="N32" s="34"/>
      <c r="O32" s="34"/>
      <c r="P32" s="35"/>
      <c r="Q32" s="32">
        <f>SUM(R32:W32)</f>
        <v>0</v>
      </c>
      <c r="R32" s="33"/>
      <c r="S32" s="34"/>
      <c r="T32" s="34"/>
      <c r="U32" s="34"/>
      <c r="V32" s="34"/>
      <c r="W32" s="36"/>
    </row>
    <row r="33" spans="1:23" ht="13.5" customHeight="1" x14ac:dyDescent="0.15">
      <c r="A33" s="52"/>
      <c r="B33" s="52"/>
      <c r="C33" s="53"/>
      <c r="D33" s="54" t="s">
        <v>3</v>
      </c>
      <c r="E33" s="52"/>
      <c r="F33" s="52" t="s">
        <v>3</v>
      </c>
      <c r="G33" s="25" t="s">
        <v>57</v>
      </c>
      <c r="H33" s="37" t="s">
        <v>58</v>
      </c>
      <c r="I33" s="38">
        <f>J33+Q33</f>
        <v>0</v>
      </c>
      <c r="J33" s="38">
        <f>SUM(K33:P33)</f>
        <v>0</v>
      </c>
      <c r="K33" s="39">
        <f t="shared" ref="K33:P33" si="9">K30+K31</f>
        <v>0</v>
      </c>
      <c r="L33" s="40">
        <f t="shared" si="9"/>
        <v>0</v>
      </c>
      <c r="M33" s="40">
        <f t="shared" si="9"/>
        <v>0</v>
      </c>
      <c r="N33" s="40">
        <f t="shared" si="9"/>
        <v>0</v>
      </c>
      <c r="O33" s="40">
        <f t="shared" si="9"/>
        <v>0</v>
      </c>
      <c r="P33" s="41">
        <f t="shared" si="9"/>
        <v>0</v>
      </c>
      <c r="Q33" s="38">
        <f>SUM(R33:W33)</f>
        <v>0</v>
      </c>
      <c r="R33" s="39">
        <f t="shared" ref="R33:W33" si="10">R30+R31</f>
        <v>0</v>
      </c>
      <c r="S33" s="40">
        <f t="shared" si="10"/>
        <v>0</v>
      </c>
      <c r="T33" s="40">
        <f t="shared" si="10"/>
        <v>0</v>
      </c>
      <c r="U33" s="40">
        <f t="shared" si="10"/>
        <v>0</v>
      </c>
      <c r="V33" s="40">
        <f t="shared" si="10"/>
        <v>0</v>
      </c>
      <c r="W33" s="42">
        <f t="shared" si="10"/>
        <v>0</v>
      </c>
    </row>
    <row r="34" spans="1:23" x14ac:dyDescent="0.15">
      <c r="A34" s="8"/>
    </row>
  </sheetData>
  <phoneticPr fontId="3"/>
  <dataValidations disablePrompts="1" count="1">
    <dataValidation type="whole" allowBlank="1" showInputMessage="1" showErrorMessage="1" sqref="K14:P33 R14:W33">
      <formula1>-99999999999</formula1>
      <formula2>99999999999</formula2>
    </dataValidation>
  </dataValidations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5" sqref="B5"/>
    </sheetView>
  </sheetViews>
  <sheetFormatPr defaultRowHeight="13.5" x14ac:dyDescent="0.15"/>
  <cols>
    <col min="1" max="1" width="13.75" style="60" bestFit="1" customWidth="1"/>
    <col min="2" max="2" width="26.625" style="60" bestFit="1" customWidth="1"/>
    <col min="3" max="16384" width="9" style="60"/>
  </cols>
  <sheetData>
    <row r="1" spans="1:2" x14ac:dyDescent="0.15">
      <c r="A1" s="58" t="s">
        <v>60</v>
      </c>
      <c r="B1" s="59">
        <v>46097</v>
      </c>
    </row>
    <row r="2" spans="1:2" x14ac:dyDescent="0.15">
      <c r="A2" s="58" t="s">
        <v>61</v>
      </c>
      <c r="B2" s="61">
        <v>1</v>
      </c>
    </row>
    <row r="3" spans="1:2" x14ac:dyDescent="0.15">
      <c r="A3" s="58" t="s">
        <v>62</v>
      </c>
      <c r="B3" s="58" t="s">
        <v>63</v>
      </c>
    </row>
    <row r="4" spans="1:2" x14ac:dyDescent="0.15">
      <c r="A4" s="58" t="s">
        <v>64</v>
      </c>
      <c r="B4" s="58" t="s">
        <v>78</v>
      </c>
    </row>
    <row r="5" spans="1:2" x14ac:dyDescent="0.15">
      <c r="A5" s="58" t="s">
        <v>65</v>
      </c>
      <c r="B5" s="58" t="s">
        <v>66</v>
      </c>
    </row>
    <row r="6" spans="1:2" x14ac:dyDescent="0.15">
      <c r="A6" s="58" t="s">
        <v>67</v>
      </c>
      <c r="B6" s="62">
        <v>2025</v>
      </c>
    </row>
    <row r="7" spans="1:2" x14ac:dyDescent="0.15">
      <c r="A7" s="58" t="s">
        <v>68</v>
      </c>
      <c r="B7" s="62" t="s">
        <v>69</v>
      </c>
    </row>
    <row r="8" spans="1:2" x14ac:dyDescent="0.15">
      <c r="A8" s="58" t="s">
        <v>70</v>
      </c>
      <c r="B8" s="62" t="s">
        <v>71</v>
      </c>
    </row>
    <row r="9" spans="1:2" x14ac:dyDescent="0.15">
      <c r="A9" s="58" t="s">
        <v>72</v>
      </c>
      <c r="B9" s="58" t="s">
        <v>73</v>
      </c>
    </row>
    <row r="10" spans="1:2" x14ac:dyDescent="0.15">
      <c r="A10" s="58" t="s">
        <v>74</v>
      </c>
      <c r="B10" s="58" t="s">
        <v>75</v>
      </c>
    </row>
    <row r="11" spans="1:2" x14ac:dyDescent="0.15">
      <c r="A11" s="58" t="s">
        <v>76</v>
      </c>
      <c r="B11" s="58"/>
    </row>
    <row r="12" spans="1:2" x14ac:dyDescent="0.15">
      <c r="A12" s="58" t="s">
        <v>77</v>
      </c>
      <c r="B12" s="58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商品課別営業予算表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dcterms:created xsi:type="dcterms:W3CDTF">2008-07-08T15:15:00Z</dcterms:created>
  <dcterms:modified xsi:type="dcterms:W3CDTF">2026-03-16T04:05:55Z</dcterms:modified>
  <cp:category/>
</cp:coreProperties>
</file>